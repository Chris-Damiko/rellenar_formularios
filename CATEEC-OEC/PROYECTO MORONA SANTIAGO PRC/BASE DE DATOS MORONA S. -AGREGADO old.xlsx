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Nextcloud\CAPTEEC-OEC\PROYECTO MORONA SANTIAGO PRC\"/>
    </mc:Choice>
  </mc:AlternateContent>
  <xr:revisionPtr revIDLastSave="0" documentId="13_ncr:1_{6658B283-E404-4C4F-B9A6-60BE7DF5F05C}" xr6:coauthVersionLast="47" xr6:coauthVersionMax="47" xr10:uidLastSave="{00000000-0000-0000-0000-000000000000}"/>
  <bookViews>
    <workbookView xWindow="-28920" yWindow="-120" windowWidth="29040" windowHeight="15720" activeTab="1" xr2:uid="{CE16A62B-2DEF-452A-9398-4F586639F555}"/>
  </bookViews>
  <sheets>
    <sheet name="GRUPOS MORONA S" sheetId="1" r:id="rId1"/>
    <sheet name="informe" sheetId="4" r:id="rId2"/>
    <sheet name="ASISTIDOS" sheetId="2" r:id="rId3"/>
  </sheets>
  <definedNames>
    <definedName name="_xlnm._FilterDatabase" localSheetId="0" hidden="1">'GRUPOS MORONA S'!$A$3:$BV$120</definedName>
    <definedName name="_xlnm._FilterDatabase" localSheetId="1" hidden="1">informe!$B$1:$H$118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48" i="2" l="1"/>
  <c r="BE48" i="2"/>
  <c r="G48" i="2"/>
  <c r="BF29" i="2"/>
  <c r="BE29" i="2"/>
  <c r="G29" i="2"/>
  <c r="BF42" i="2"/>
  <c r="BE42" i="2"/>
  <c r="G42" i="2"/>
  <c r="BF38" i="2"/>
  <c r="BE38" i="2"/>
  <c r="G38" i="2"/>
  <c r="BF55" i="2"/>
  <c r="BE55" i="2"/>
  <c r="G55" i="2"/>
  <c r="BF54" i="2"/>
  <c r="BE54" i="2"/>
  <c r="G54" i="2"/>
  <c r="BF53" i="2"/>
  <c r="BE53" i="2"/>
  <c r="G53" i="2"/>
  <c r="BF52" i="2"/>
  <c r="BE52" i="2"/>
  <c r="G52" i="2"/>
  <c r="BF51" i="2"/>
  <c r="BE51" i="2"/>
  <c r="G51" i="2"/>
  <c r="BF50" i="2"/>
  <c r="BE50" i="2"/>
  <c r="G50" i="2"/>
  <c r="BF49" i="2"/>
  <c r="BE49" i="2"/>
  <c r="G49" i="2"/>
  <c r="BF47" i="2"/>
  <c r="BE47" i="2"/>
  <c r="G47" i="2"/>
  <c r="BF46" i="2"/>
  <c r="BE46" i="2"/>
  <c r="G46" i="2"/>
  <c r="BF45" i="2"/>
  <c r="BE45" i="2"/>
  <c r="G45" i="2"/>
  <c r="BF44" i="2"/>
  <c r="BE44" i="2"/>
  <c r="G44" i="2"/>
  <c r="BF43" i="2"/>
  <c r="BE43" i="2"/>
  <c r="G43" i="2"/>
  <c r="BF41" i="2"/>
  <c r="BE41" i="2"/>
  <c r="G41" i="2"/>
  <c r="BF40" i="2"/>
  <c r="BE40" i="2"/>
  <c r="G40" i="2"/>
  <c r="BF39" i="2"/>
  <c r="BE39" i="2"/>
  <c r="G39" i="2"/>
  <c r="BF37" i="2"/>
  <c r="BE37" i="2"/>
  <c r="G37" i="2"/>
  <c r="BF36" i="2"/>
  <c r="BE36" i="2"/>
  <c r="G36" i="2"/>
  <c r="BF35" i="2"/>
  <c r="BE35" i="2"/>
  <c r="G35" i="2"/>
  <c r="BF34" i="2"/>
  <c r="BE34" i="2"/>
  <c r="G34" i="2"/>
  <c r="BF33" i="2"/>
  <c r="BE33" i="2"/>
  <c r="G33" i="2"/>
  <c r="BF32" i="2"/>
  <c r="BE32" i="2"/>
  <c r="G32" i="2"/>
  <c r="BF31" i="2"/>
  <c r="BE31" i="2"/>
  <c r="G31" i="2"/>
  <c r="BF30" i="2"/>
  <c r="BE30" i="2"/>
  <c r="G30" i="2"/>
  <c r="BF28" i="2"/>
  <c r="BE28" i="2"/>
  <c r="G28" i="2"/>
  <c r="BF27" i="2"/>
  <c r="BE27" i="2"/>
  <c r="G27" i="2"/>
  <c r="BF26" i="2"/>
  <c r="BE26" i="2"/>
  <c r="G26" i="2"/>
  <c r="BF25" i="2"/>
  <c r="BE25" i="2"/>
  <c r="G25" i="2"/>
  <c r="BF23" i="2"/>
  <c r="BE23" i="2"/>
  <c r="G23" i="2"/>
  <c r="BF6" i="2"/>
  <c r="BE6" i="2"/>
  <c r="G6" i="2"/>
  <c r="BE18" i="2"/>
  <c r="G18" i="2"/>
  <c r="BF24" i="2"/>
  <c r="BE24" i="2"/>
  <c r="G24" i="2"/>
  <c r="BE22" i="2"/>
  <c r="G22" i="2"/>
  <c r="BE21" i="2"/>
  <c r="G21" i="2"/>
  <c r="BE20" i="2"/>
  <c r="G20" i="2"/>
  <c r="BE19" i="2"/>
  <c r="G19" i="2"/>
  <c r="BE17" i="2"/>
  <c r="G17" i="2"/>
  <c r="BF16" i="2"/>
  <c r="BE16" i="2"/>
  <c r="G16" i="2"/>
  <c r="BF14" i="2"/>
  <c r="BE14" i="2"/>
  <c r="G14" i="2"/>
  <c r="BF13" i="2"/>
  <c r="BE13" i="2"/>
  <c r="G13" i="2"/>
  <c r="BF12" i="2"/>
  <c r="BE12" i="2"/>
  <c r="G12" i="2"/>
  <c r="BF11" i="2"/>
  <c r="BE11" i="2"/>
  <c r="G11" i="2"/>
  <c r="BF10" i="2"/>
  <c r="BE10" i="2"/>
  <c r="G10" i="2"/>
  <c r="BF9" i="2"/>
  <c r="BE9" i="2"/>
  <c r="G9" i="2"/>
  <c r="BF8" i="2"/>
  <c r="BE8" i="2"/>
  <c r="G8" i="2"/>
  <c r="BF7" i="2"/>
  <c r="BE7" i="2"/>
  <c r="G7" i="2"/>
  <c r="BF5" i="2"/>
  <c r="BE5" i="2"/>
  <c r="G5" i="2"/>
  <c r="BF3" i="2"/>
  <c r="BE3" i="2"/>
  <c r="G3" i="2"/>
  <c r="BG63" i="1"/>
  <c r="BG64" i="1"/>
  <c r="BG65" i="1"/>
  <c r="BG66" i="1"/>
  <c r="BG67" i="1"/>
  <c r="BG68" i="1"/>
  <c r="BG69" i="1"/>
  <c r="BG70" i="1"/>
  <c r="BG71" i="1"/>
  <c r="BG72" i="1"/>
  <c r="BG73" i="1"/>
  <c r="BG74" i="1"/>
  <c r="BG122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F64" i="1"/>
  <c r="BF65" i="1"/>
  <c r="BF66" i="1"/>
  <c r="BF67" i="1"/>
  <c r="BF68" i="1"/>
  <c r="BF69" i="1"/>
  <c r="BF70" i="1"/>
  <c r="BF71" i="1"/>
  <c r="BF72" i="1"/>
  <c r="BF73" i="1"/>
  <c r="BF74" i="1"/>
  <c r="BF122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63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122" i="1"/>
  <c r="H74" i="1"/>
  <c r="H73" i="1"/>
  <c r="H72" i="1"/>
  <c r="H71" i="1"/>
  <c r="H70" i="1"/>
  <c r="H69" i="1"/>
  <c r="H68" i="1"/>
  <c r="H67" i="1"/>
  <c r="H66" i="1"/>
  <c r="H65" i="1"/>
  <c r="H64" i="1"/>
  <c r="H63" i="1"/>
  <c r="BG62" i="1"/>
  <c r="BF62" i="1"/>
  <c r="H62" i="1"/>
  <c r="BG61" i="1"/>
  <c r="BF61" i="1"/>
  <c r="H61" i="1"/>
  <c r="BG60" i="1"/>
  <c r="BF60" i="1"/>
  <c r="H60" i="1"/>
  <c r="BG59" i="1"/>
  <c r="BF59" i="1"/>
  <c r="H59" i="1"/>
  <c r="BG58" i="1"/>
  <c r="BF58" i="1"/>
  <c r="H58" i="1"/>
  <c r="BG57" i="1"/>
  <c r="BF57" i="1"/>
  <c r="H57" i="1"/>
  <c r="BG56" i="1"/>
  <c r="BF56" i="1"/>
  <c r="H56" i="1"/>
  <c r="BG55" i="1"/>
  <c r="BF55" i="1"/>
  <c r="H55" i="1"/>
  <c r="BG54" i="1"/>
  <c r="BF54" i="1"/>
  <c r="H54" i="1"/>
  <c r="BG53" i="1"/>
  <c r="BF53" i="1"/>
  <c r="H53" i="1"/>
  <c r="BG52" i="1"/>
  <c r="BF52" i="1"/>
  <c r="H52" i="1"/>
  <c r="BG51" i="1"/>
  <c r="BF51" i="1"/>
  <c r="H51" i="1"/>
  <c r="BG50" i="1"/>
  <c r="BF50" i="1"/>
  <c r="H50" i="1"/>
  <c r="BG49" i="1"/>
  <c r="BF49" i="1"/>
  <c r="H49" i="1"/>
  <c r="BG48" i="1"/>
  <c r="BF48" i="1"/>
  <c r="H48" i="1"/>
  <c r="BG47" i="1"/>
  <c r="BF47" i="1"/>
  <c r="H47" i="1"/>
  <c r="BG46" i="1"/>
  <c r="BF46" i="1"/>
  <c r="H46" i="1"/>
  <c r="BG45" i="1"/>
  <c r="BF45" i="1"/>
  <c r="H45" i="1"/>
  <c r="BG44" i="1"/>
  <c r="BF44" i="1"/>
  <c r="H44" i="1"/>
  <c r="BG43" i="1"/>
  <c r="BF43" i="1"/>
  <c r="H43" i="1"/>
  <c r="BG42" i="1"/>
  <c r="BF42" i="1"/>
  <c r="H42" i="1"/>
  <c r="BG41" i="1"/>
  <c r="BF41" i="1"/>
  <c r="H41" i="1"/>
  <c r="BG40" i="1"/>
  <c r="BF40" i="1"/>
  <c r="H40" i="1"/>
  <c r="BG39" i="1"/>
  <c r="BF39" i="1"/>
  <c r="H39" i="1"/>
  <c r="BG38" i="1"/>
  <c r="BF38" i="1"/>
  <c r="H38" i="1"/>
  <c r="BG37" i="1"/>
  <c r="BF37" i="1"/>
  <c r="H37" i="1"/>
  <c r="BG36" i="1"/>
  <c r="BF36" i="1"/>
  <c r="H36" i="1"/>
  <c r="BG35" i="1"/>
  <c r="BF35" i="1"/>
  <c r="H35" i="1"/>
  <c r="BG34" i="1"/>
  <c r="BF34" i="1"/>
  <c r="H34" i="1"/>
  <c r="BG33" i="1"/>
  <c r="BF33" i="1"/>
  <c r="H33" i="1"/>
  <c r="BG32" i="1"/>
  <c r="BF32" i="1"/>
  <c r="H32" i="1"/>
  <c r="BG31" i="1"/>
  <c r="BF31" i="1"/>
  <c r="H31" i="1"/>
  <c r="BG30" i="1"/>
  <c r="BF30" i="1"/>
  <c r="H30" i="1"/>
  <c r="BG29" i="1"/>
  <c r="BF29" i="1"/>
  <c r="H29" i="1"/>
  <c r="BG28" i="1"/>
  <c r="BF28" i="1"/>
  <c r="H28" i="1"/>
  <c r="BG27" i="1"/>
  <c r="BF27" i="1"/>
  <c r="H27" i="1"/>
  <c r="BG26" i="1"/>
  <c r="BF26" i="1"/>
  <c r="H26" i="1"/>
  <c r="BG25" i="1"/>
  <c r="BF25" i="1"/>
  <c r="H25" i="1"/>
  <c r="BG24" i="1"/>
  <c r="BF24" i="1"/>
  <c r="H24" i="1"/>
  <c r="BG23" i="1"/>
  <c r="BF23" i="1"/>
  <c r="H23" i="1"/>
  <c r="BG22" i="1"/>
  <c r="BF22" i="1"/>
  <c r="H22" i="1"/>
  <c r="BG21" i="1"/>
  <c r="BF21" i="1"/>
  <c r="H21" i="1"/>
  <c r="BG20" i="1"/>
  <c r="BF20" i="1"/>
  <c r="H20" i="1"/>
  <c r="BG19" i="1"/>
  <c r="BF19" i="1"/>
  <c r="H19" i="1"/>
  <c r="BG18" i="1"/>
  <c r="BF18" i="1"/>
  <c r="H18" i="1"/>
  <c r="BG17" i="1"/>
  <c r="BF17" i="1"/>
  <c r="H17" i="1"/>
  <c r="BG16" i="1"/>
  <c r="BF16" i="1"/>
  <c r="H16" i="1"/>
  <c r="BG15" i="1"/>
  <c r="BF15" i="1"/>
  <c r="H15" i="1"/>
  <c r="BG14" i="1"/>
  <c r="BF14" i="1"/>
  <c r="H14" i="1"/>
  <c r="BG13" i="1"/>
  <c r="BF13" i="1"/>
  <c r="H13" i="1"/>
  <c r="BG12" i="1"/>
  <c r="BF12" i="1"/>
  <c r="H12" i="1"/>
  <c r="BG11" i="1"/>
  <c r="BF11" i="1"/>
  <c r="H11" i="1"/>
  <c r="BG10" i="1"/>
  <c r="BF10" i="1"/>
  <c r="H10" i="1"/>
  <c r="BG9" i="1"/>
  <c r="BF9" i="1"/>
  <c r="H9" i="1"/>
  <c r="BG8" i="1"/>
  <c r="BF8" i="1"/>
  <c r="H8" i="1"/>
  <c r="BG7" i="1"/>
  <c r="BF7" i="1"/>
  <c r="H7" i="1"/>
  <c r="BG6" i="1"/>
  <c r="BF6" i="1"/>
  <c r="H6" i="1"/>
  <c r="BG5" i="1"/>
  <c r="BF5" i="1"/>
  <c r="H5" i="1"/>
  <c r="BG4" i="1"/>
  <c r="BF4" i="1"/>
  <c r="H4" i="1"/>
</calcChain>
</file>

<file path=xl/sharedStrings.xml><?xml version="1.0" encoding="utf-8"?>
<sst xmlns="http://schemas.openxmlformats.org/spreadsheetml/2006/main" count="5334" uniqueCount="994">
  <si>
    <t>CAPTEEC CENTRO DE CAPACITACIÓN TÉCNICA - EMPRESARIAL &amp; TUTORIAS S.A.S.</t>
  </si>
  <si>
    <t>PREVENCIÓN DE RIESGOS LABORALES EN ACTIVIDADES DE ALTO RIESGO: CONSTRUCCIÓN Y OBRA CIVIL</t>
  </si>
  <si>
    <t>EXPERIENCIA LABORAL  1</t>
  </si>
  <si>
    <t>EXPERIENCIA LABORAL  2</t>
  </si>
  <si>
    <t>SECUNDARIA</t>
  </si>
  <si>
    <t>SUPERIOR</t>
  </si>
  <si>
    <t>IV NIVEL</t>
  </si>
  <si>
    <t>FECHA Y HORA CERTIFICACION</t>
  </si>
  <si>
    <t>CODIGO</t>
  </si>
  <si>
    <t>APELLIDOS Y NOMBRES</t>
  </si>
  <si>
    <t>CEDULA</t>
  </si>
  <si>
    <t>COD. EXAM</t>
  </si>
  <si>
    <t>F. NACI.</t>
  </si>
  <si>
    <t>EDAD</t>
  </si>
  <si>
    <t>ESTADO</t>
  </si>
  <si>
    <t>PROVINCIA</t>
  </si>
  <si>
    <t>CANTON</t>
  </si>
  <si>
    <t>PARROQUIA</t>
  </si>
  <si>
    <t>DIRECCION</t>
  </si>
  <si>
    <t>CORREO</t>
  </si>
  <si>
    <t>TELEFONO</t>
  </si>
  <si>
    <t>CELULAR</t>
  </si>
  <si>
    <t>EMPRESA</t>
  </si>
  <si>
    <t>F. INICIO</t>
  </si>
  <si>
    <t>F. FIN</t>
  </si>
  <si>
    <t>MES</t>
  </si>
  <si>
    <t>ACTIVIDAD</t>
  </si>
  <si>
    <t>INSITUCION</t>
  </si>
  <si>
    <t>PAIS</t>
  </si>
  <si>
    <t>CIUDAD</t>
  </si>
  <si>
    <t>TITULO</t>
  </si>
  <si>
    <t>COSTO</t>
  </si>
  <si>
    <t>fecha Reg</t>
  </si>
  <si>
    <t>fecha Acep</t>
  </si>
  <si>
    <t>fecha Examinacion</t>
  </si>
  <si>
    <t>Fecha Visualizacion Certificado</t>
  </si>
  <si>
    <t>LUGAR</t>
  </si>
  <si>
    <t>TIPO</t>
  </si>
  <si>
    <t>hora</t>
  </si>
  <si>
    <t>EXAMEN</t>
  </si>
  <si>
    <t>tiempo1 (30)</t>
  </si>
  <si>
    <t>tiempo2 (80)</t>
  </si>
  <si>
    <t>PRC-M001</t>
  </si>
  <si>
    <t>ANTUN TIMIAS CID MAGNO</t>
  </si>
  <si>
    <t xml:space="preserve">MORONA SANTIAGO </t>
  </si>
  <si>
    <t>MORONA</t>
  </si>
  <si>
    <t>MACAS</t>
  </si>
  <si>
    <t>07-9999999</t>
  </si>
  <si>
    <t>COLEGIO PARTICULAR A DISTANCIA SULTANA DEL ORIENTE</t>
  </si>
  <si>
    <t>ECUADOR</t>
  </si>
  <si>
    <t>BACHILLER TÉCNICO EN COMERCIO Y ADMINISTRACIÓN</t>
  </si>
  <si>
    <t>FUERA DEL OEC</t>
  </si>
  <si>
    <t>TALLER</t>
  </si>
  <si>
    <t>PRC-M002</t>
  </si>
  <si>
    <t>APIC NAJANDEY NICOLAS GILBERTO</t>
  </si>
  <si>
    <t>UNIDAD EDUCATIVA COMUNITARIA INTERCULTURAL BILINGÜE ANTONIO SAMANIEGO</t>
  </si>
  <si>
    <t>TÉCNICO AGROPECUARIOS</t>
  </si>
  <si>
    <t>PRI</t>
  </si>
  <si>
    <t>PRC-M003</t>
  </si>
  <si>
    <t>AREVALO AREVALO SEGUNDO AGUSTIN</t>
  </si>
  <si>
    <t>0201275336</t>
  </si>
  <si>
    <t>N</t>
  </si>
  <si>
    <t>PRC-M004</t>
  </si>
  <si>
    <t>CALLE WELLINTON GUILLERMO</t>
  </si>
  <si>
    <t>0300656485</t>
  </si>
  <si>
    <t>PRC-M005</t>
  </si>
  <si>
    <t>CATANI WAMPANKIT MICHEL EDGAR</t>
  </si>
  <si>
    <t>PRC-M006</t>
  </si>
  <si>
    <t>CAYAPA NUNGUICHI JUAN GABRIEL</t>
  </si>
  <si>
    <t>1400560239</t>
  </si>
  <si>
    <t>PRC-M007</t>
  </si>
  <si>
    <t>CAYAPA VARGAS CESAR HUMBERTO</t>
  </si>
  <si>
    <t>PRC-M008</t>
  </si>
  <si>
    <t>CEDEÑO GUZMAN ERICH GERMAN</t>
  </si>
  <si>
    <t>PRC-M009</t>
  </si>
  <si>
    <t>CHIARMACH KAYAP RUSARI CELESTINA</t>
  </si>
  <si>
    <t>1400379119</t>
  </si>
  <si>
    <t>UNIDAD EDUCATIVA PCEI FISCOMISIONAL DR CAMILO GALLEGOS DOMINGUEZ</t>
  </si>
  <si>
    <t>CIENCIAS</t>
  </si>
  <si>
    <t>PRC-M010</t>
  </si>
  <si>
    <t>CHIRIAPA MASHIANT GILSON BERNABE</t>
  </si>
  <si>
    <t>COLEGIO DE BACHILLERATO MACAS</t>
  </si>
  <si>
    <t>TÉCNICO POLIVALENTE</t>
  </si>
  <si>
    <t>PRC-M011</t>
  </si>
  <si>
    <t>CHIRIBOGA BARRERA FERNANDO MARCELO</t>
  </si>
  <si>
    <t>BACHILLER TÉCNICO INDUSTRIAL</t>
  </si>
  <si>
    <t>PRC-M012</t>
  </si>
  <si>
    <t>CHIRIBOGA GARNICA EDWIN ELIAS</t>
  </si>
  <si>
    <t>PRC-M013</t>
  </si>
  <si>
    <t>CHIRIBOGA GARNICA FREDDY JONATAN</t>
  </si>
  <si>
    <t>UNIDAD EDUCATIVA FISCOMISIONAL DON BOSCO</t>
  </si>
  <si>
    <t>PRC-M014</t>
  </si>
  <si>
    <t>DELGADO ATIENCIA LUIS CARLOS</t>
  </si>
  <si>
    <t>0103204640</t>
  </si>
  <si>
    <t>III</t>
  </si>
  <si>
    <t>PRC-M015</t>
  </si>
  <si>
    <t>DIAZ CHUQUIRIMA JORGE VICENTE</t>
  </si>
  <si>
    <t>UNIVERSIDAD NACIONAL DE LOJA</t>
  </si>
  <si>
    <t>TECNOLOGO DE NIVEL SUPERIOR ES LA ESPECIALIDAD DE: TOPOGRAFIA</t>
  </si>
  <si>
    <t>PRC-M016</t>
  </si>
  <si>
    <t>ETSAA TIRIRUK MANAIT MARGARITA</t>
  </si>
  <si>
    <t>COLEGIO FISCOMISIONAL TECNICO INTERCULTURAL BILINGUE TUNA</t>
  </si>
  <si>
    <t>BACHILLER TÉCNICO</t>
  </si>
  <si>
    <t>PRC-M017</t>
  </si>
  <si>
    <t>GALLARDO RODRIGUEZ MARVIN GIOBERTI</t>
  </si>
  <si>
    <t>PRC-M018</t>
  </si>
  <si>
    <t>GOMEZ PARREÑO CLEVER ROBERTO</t>
  </si>
  <si>
    <t>1709345878</t>
  </si>
  <si>
    <t>PRC-M019</t>
  </si>
  <si>
    <t>GUACHICHULCA PEÑAFIEL ELDER GONZALO</t>
  </si>
  <si>
    <t>COLEGIO DE BACHILLERATO FISCOMISIONAL RIO UPANO</t>
  </si>
  <si>
    <t>ESCUELA SUPERIOR POLITECNICA ECOLOGICA AMAZONICA</t>
  </si>
  <si>
    <t>LICENCIADO EN ADMINISTRACION DE EMPRESAS</t>
  </si>
  <si>
    <t>PRC-M020</t>
  </si>
  <si>
    <t>GUAJARE SANCHIMA JAIRO CELIN</t>
  </si>
  <si>
    <t>UNIDAD EDUCATIVA COMUNITARIA INTERCULTURAL BILINGÜE "TUNTA"</t>
  </si>
  <si>
    <t>INSTITUTO SUPERIOR TÉCNICO SHALON</t>
  </si>
  <si>
    <t>TECNICO SUPERIOR EN ADMINISTRACION DE EMPRESAS</t>
  </si>
  <si>
    <t>PRC-M021</t>
  </si>
  <si>
    <t>GUAMAN LUIS ALBERTO</t>
  </si>
  <si>
    <t>0602255887</t>
  </si>
  <si>
    <t>PRC-M022</t>
  </si>
  <si>
    <t>JARAMILLO CARVAJAL YOLANDA CRUZ</t>
  </si>
  <si>
    <t>PRC-M023</t>
  </si>
  <si>
    <t>JARAMILLO RIVADENEIRA ALEJANDRO SEBASTIAN</t>
  </si>
  <si>
    <t>UNIDAD EDUCATIVA FISCOMISIONAL DOMINGO SAVIO</t>
  </si>
  <si>
    <t>BACHILLER TÉCNICO EN AGROPECUARIA</t>
  </si>
  <si>
    <t>PRC-M024</t>
  </si>
  <si>
    <t>JIMENEZ DELGADO JORGE JAIME</t>
  </si>
  <si>
    <t>PRC-M025</t>
  </si>
  <si>
    <t>JUANK SHIKI ETSA DAVID</t>
  </si>
  <si>
    <t>UNIDAD EDUCATIVA EXPERIMENTAL YAMARAM TSAWAA MATRIZ</t>
  </si>
  <si>
    <t>PRC-M026</t>
  </si>
  <si>
    <t>JUWA USHAP JINTIA JORGE</t>
  </si>
  <si>
    <t>UNIDAD EDUCATIVA INTERCULTURAL BILINGÜE SHUAR-ACHUAR "YAMARAM TSAWAA"</t>
  </si>
  <si>
    <t>CONTADOR BACHILLER CIENCIAS DE COMERCIO Y ADMINISTRACIÓN</t>
  </si>
  <si>
    <t>PRC-M027</t>
  </si>
  <si>
    <t>KAASAP TIKIUA NAICHAP CESAR</t>
  </si>
  <si>
    <t>PRC-M028</t>
  </si>
  <si>
    <t>KAJEKAI AMPAM ANKUASH RAMIRO</t>
  </si>
  <si>
    <t>PRC-M029</t>
  </si>
  <si>
    <t>KAJEKAI WAMPUTSAR PEDRO GABRIEL</t>
  </si>
  <si>
    <t>PRC-M030</t>
  </si>
  <si>
    <t>KANIRAS CHUMPI PAUL PATRICIO</t>
  </si>
  <si>
    <t>COLEGIO DE BACHILLERATO FISCO-MISIONAL ACHUAR</t>
  </si>
  <si>
    <t>PRC-M031</t>
  </si>
  <si>
    <t>KANIRAS PITIUR JEMPETS BAYRON</t>
  </si>
  <si>
    <t>PRC-M032</t>
  </si>
  <si>
    <t>KAWARIM WISUM NANKI JORDAN</t>
  </si>
  <si>
    <t>1400981419</t>
  </si>
  <si>
    <t>PRC-M033</t>
  </si>
  <si>
    <t>MACAS TOBAR MANUEL ANDRES</t>
  </si>
  <si>
    <t>PRC-M034</t>
  </si>
  <si>
    <t>MASHIANT KANIRAS ALEXANDRO BARTOLO</t>
  </si>
  <si>
    <t>PRC-M035</t>
  </si>
  <si>
    <t>MAYAK KAYAP PABLO CLAUDIO</t>
  </si>
  <si>
    <t>PRC-M036</t>
  </si>
  <si>
    <t>MERINO CARVAJAL PEDRO PABLO</t>
  </si>
  <si>
    <t>PRC-M037</t>
  </si>
  <si>
    <t>MONTENEGRO JARAMILLO AUGUSTO GABINO</t>
  </si>
  <si>
    <t>PRC-M038</t>
  </si>
  <si>
    <t>MOROCHO MOROCHO JORGE LEONARDO</t>
  </si>
  <si>
    <t>pri</t>
  </si>
  <si>
    <t>PRC-M039</t>
  </si>
  <si>
    <t>MOROCHO PILAMUNGA GONZALO</t>
  </si>
  <si>
    <t>0801864794</t>
  </si>
  <si>
    <t>PRC-M040</t>
  </si>
  <si>
    <t>MUÑOZ HIDALGO EDWIN ROLANDO</t>
  </si>
  <si>
    <t>UNIVERSITARIO JUAN MONTALVO</t>
  </si>
  <si>
    <t>PRC-M041</t>
  </si>
  <si>
    <t>NAWECH ANKUASH JUAN DIEGO</t>
  </si>
  <si>
    <t>PRC-M042</t>
  </si>
  <si>
    <t>NIVELO WASHINGTON OSWALDO</t>
  </si>
  <si>
    <t>UNIDAD EDUCATIVA A DISTANCIA DR CAMILO GALLEGOS DOMINGUEZ</t>
  </si>
  <si>
    <t>PRC-M043</t>
  </si>
  <si>
    <t>PETROCHE ZAMBRANO RAFAEL ANTONIO</t>
  </si>
  <si>
    <t>PRC-M044</t>
  </si>
  <si>
    <t>PUJUPATA NAJANDE ERIK</t>
  </si>
  <si>
    <t>COLEGIO DOCE DE MAYO</t>
  </si>
  <si>
    <t>CONTADOR BACHILLER CONTADOR BACHILLER</t>
  </si>
  <si>
    <t>INSTITUTO SUPERIOR TECNOLÓGICO SUPERARSE</t>
  </si>
  <si>
    <t>TECNICO/A SUPERIOR EN ADMINISTRACION</t>
  </si>
  <si>
    <t>PRC-M045</t>
  </si>
  <si>
    <t>QUISIRUMBAY VARGAS LUIS ISAIAS</t>
  </si>
  <si>
    <t>UNIDAD EDUCATIVA CASCALES</t>
  </si>
  <si>
    <t>PRC-M046</t>
  </si>
  <si>
    <t>RAIGOZA MARTINEZ ROBINZON FERNANDO</t>
  </si>
  <si>
    <t>PRC-M047</t>
  </si>
  <si>
    <t>RIOFRIO BARZOLA LUIGGUI ENRIQUE</t>
  </si>
  <si>
    <t>TÉCNICO EN MECANIZADO Y CONSTRUCCIONES METÁLICAS</t>
  </si>
  <si>
    <t>PRC-M048</t>
  </si>
  <si>
    <t>RIVADENEIRA MANOSALVAS JEFFERSON ALBERTO</t>
  </si>
  <si>
    <t>PRC-M049</t>
  </si>
  <si>
    <t>RODAS JARAMILLO ADRIAN GEOVANNY</t>
  </si>
  <si>
    <t>UNIDAD EDUCATIVA PCEI PARTICULAR SULTANA DEL ORIENTE</t>
  </si>
  <si>
    <t>PRC-M050</t>
  </si>
  <si>
    <t>RODRIGUEZ AVILES RENE JAIME</t>
  </si>
  <si>
    <t>PRC-M051</t>
  </si>
  <si>
    <t>SUAMBRA ANKUASH JOSE FAVIAN</t>
  </si>
  <si>
    <t>PRC-M052</t>
  </si>
  <si>
    <t>TAISH TAISH SHUSHUI RAMON</t>
  </si>
  <si>
    <t>UNIDAD EDUCATIVA INTERCULTURAL BILINGUE TSANTSA</t>
  </si>
  <si>
    <t>PRC-M053</t>
  </si>
  <si>
    <t>TASHAM MASHIAN JACOB EDWIN</t>
  </si>
  <si>
    <t>PRC-M054</t>
  </si>
  <si>
    <t>TIRIRUK WAJAI TENTETS GILBERTO</t>
  </si>
  <si>
    <t>UNIDAD EDUCATIVA COMUNITARIA INTERCULTURAL BILINGÜE "TAKI"</t>
  </si>
  <si>
    <t>PRC-M055</t>
  </si>
  <si>
    <t>TIWIRMA YANKUR JONNY</t>
  </si>
  <si>
    <t>UNIDAD EDUCATIVA HUAMBOYA</t>
  </si>
  <si>
    <t>PRC-M056</t>
  </si>
  <si>
    <t>TSERE SHARUP MASHINKIASH FEDERICO</t>
  </si>
  <si>
    <t>PRC-M057</t>
  </si>
  <si>
    <t>WACHAPA ANKUASH ELVIS IVAN</t>
  </si>
  <si>
    <t>UNIDAD EDUCATIVA FRANCISCO DE ORELLANA</t>
  </si>
  <si>
    <t>PRC-M058</t>
  </si>
  <si>
    <t>WAJUYATA RUIZ FREDY RONALDO</t>
  </si>
  <si>
    <t>UNIDAD EDUCATIVA PALORA</t>
  </si>
  <si>
    <t>PRC-M059</t>
  </si>
  <si>
    <t>WAMPUTSRIK CHIARMACH KUNKUP GRISMALDO</t>
  </si>
  <si>
    <t>TÉCNICO EN CONTABILIDAD Y ADMINISTRACIÓN</t>
  </si>
  <si>
    <t>PRC-M060</t>
  </si>
  <si>
    <t>MOROCHO MAYAGUARI ALVARO ISMAEL</t>
  </si>
  <si>
    <t>0103558565</t>
  </si>
  <si>
    <t>UNIVERSIDAD POLITECNICA SALESIANA</t>
  </si>
  <si>
    <t>INGENIERO DE EJECUCION EN AUTOMOTRIZ</t>
  </si>
  <si>
    <t>IV</t>
  </si>
  <si>
    <t>PRC-M061</t>
  </si>
  <si>
    <t>ASTUDILLO CORDOVA ANGEL DANIEL</t>
  </si>
  <si>
    <t>0103538856</t>
  </si>
  <si>
    <t>UNIDAD EDUCATIVA ABDON CALDERON</t>
  </si>
  <si>
    <t>UNIVERSIDAD DE CUENCA</t>
  </si>
  <si>
    <t>INGENIERO CIVIL</t>
  </si>
  <si>
    <t>FACULTAD LATINOAMERICANA DE CIENCIAS SOCIALES</t>
  </si>
  <si>
    <t>DIPLOMA SUPERIOR EN DISEÑO GESTION Y EVALUACION DE PROYECTOS DE DESARROLLO</t>
  </si>
  <si>
    <t>PRC-M062</t>
  </si>
  <si>
    <t>BARBA CASTRO JULIO BLADIMIR</t>
  </si>
  <si>
    <t>UNIVERSIDAD NACIONAL DE CHIMBORAZO</t>
  </si>
  <si>
    <t>PRC-M063</t>
  </si>
  <si>
    <t>BARRETO OTAVALO JUAN JOSE</t>
  </si>
  <si>
    <t>1400334221</t>
  </si>
  <si>
    <t>PRC-M064</t>
  </si>
  <si>
    <t>BLANDIN AREVALO EDWIN FERNANDO</t>
  </si>
  <si>
    <t>UNIVERSIDAD DEL AZUAY</t>
  </si>
  <si>
    <t>INGENIERO CIVIL CON ENFASIS EN GERENCIA DE CONSTRUCCIONES</t>
  </si>
  <si>
    <t>UNIVERSIDAD CATOLICA DE CUENCA</t>
  </si>
  <si>
    <t>MAGISTER EN CONSTRUCCIONES MENCIÓN EN ADMINISTRACION DE LA CONSTRUCCION SUSTENTABLE</t>
  </si>
  <si>
    <t>PRC-M065</t>
  </si>
  <si>
    <t>BURBANO LOPEZ ANDY ALEJANDRO</t>
  </si>
  <si>
    <t>0106646995</t>
  </si>
  <si>
    <t>UNIDAD EDUCATIVA FISCOMISIONAL TÉCNICO SALESIANO</t>
  </si>
  <si>
    <t>TÉCNICO INDUSTRIALES</t>
  </si>
  <si>
    <t>PRC-M066</t>
  </si>
  <si>
    <t>CABRERA RODRIGUEZ JHONY JAVIER</t>
  </si>
  <si>
    <t>UNIDAD EDUCATIVA FISCOMISIONAL AGRONÓMICO SALESIANO</t>
  </si>
  <si>
    <t>PRC-M067</t>
  </si>
  <si>
    <t>CAIVINAGUA INGA JOEL MODESTO</t>
  </si>
  <si>
    <t>0102617438</t>
  </si>
  <si>
    <t>PRC-M068</t>
  </si>
  <si>
    <t>JERVES ZAMBRANO CARLOS ANDRES</t>
  </si>
  <si>
    <t>0104121827</t>
  </si>
  <si>
    <t>INGENIERO ELECTRONICO</t>
  </si>
  <si>
    <t>UNIVERSIDAD INTERNACIONAL DE LA RIOJA</t>
  </si>
  <si>
    <t>MASTER UNIVERSITARIO EN DISEÑO Y GESTION DE PROYECTOS TECNOLOGICOS</t>
  </si>
  <si>
    <t>PRC-M069</t>
  </si>
  <si>
    <t>CASTRO VIMOS JHOANA ALEXANDRA</t>
  </si>
  <si>
    <t>LICENCIADA EN TRABAJO Y SERVICIO SOCIAL</t>
  </si>
  <si>
    <t>PRC-M070</t>
  </si>
  <si>
    <t>CATANI CHANGOLUISA BYRON PATRICIO</t>
  </si>
  <si>
    <t>0704422773</t>
  </si>
  <si>
    <t>ESCUELA SUPERIOR POLITECNICA DE CHIMBORAZO</t>
  </si>
  <si>
    <t>MEDICO GENERAL</t>
  </si>
  <si>
    <t>PRC-M071</t>
  </si>
  <si>
    <t>CHAMIKIAR KAYAP WILMER RIVALDO</t>
  </si>
  <si>
    <t>LICENCIADO/A EN ADMINISTRACION DE EMPRESAS</t>
  </si>
  <si>
    <t>PRC-M072</t>
  </si>
  <si>
    <t>CONFORME GARCIA JONATHAN MANUEL</t>
  </si>
  <si>
    <t>UNIVERSIDAD TECNICA ESTATAL DE QUEVEDO</t>
  </si>
  <si>
    <t>INGENIERO EN SEGURIDAD INDUSTRIAL Y SALUD OCUPACIONAL</t>
  </si>
  <si>
    <t>PRC-M073</t>
  </si>
  <si>
    <t>GUAMAN TRUJILLO CRISTIAN DAVID</t>
  </si>
  <si>
    <t>0603889452</t>
  </si>
  <si>
    <t>INGENIERO AUTOMOTRIZ</t>
  </si>
  <si>
    <t>MASTER UNIVERSITARIO EN DIRECCION Y ADMINISTRACION DE EMPRESAS / MASTER IN BUSINESS ADMINISTRATION (MBA)</t>
  </si>
  <si>
    <t>PRC-M074</t>
  </si>
  <si>
    <t>ORTIZ JARAMILLO DAMARY LIZZETE</t>
  </si>
  <si>
    <t>1400762397</t>
  </si>
  <si>
    <t>INGENIERA MECANICO AUTOMOTRIZ</t>
  </si>
  <si>
    <t>PRC-M075</t>
  </si>
  <si>
    <t>DELGADO VINTIMILLA DIEGO SANTIAGO</t>
  </si>
  <si>
    <t>0104516026</t>
  </si>
  <si>
    <t>INGENIERO DE SISTEMAS</t>
  </si>
  <si>
    <t>PRC-M076</t>
  </si>
  <si>
    <t>CHACHA BORJA DIEGO RAMIRO</t>
  </si>
  <si>
    <t>1400702302</t>
  </si>
  <si>
    <t>PRC-M077</t>
  </si>
  <si>
    <t>MARIN CAMBIZACA DORIAN JULIO</t>
  </si>
  <si>
    <t>1401065790</t>
  </si>
  <si>
    <t>PRC-M078</t>
  </si>
  <si>
    <t>SERRANO ZUÑIGA EDGAR FERNANDO</t>
  </si>
  <si>
    <t>0103356408</t>
  </si>
  <si>
    <t>PRC-M079</t>
  </si>
  <si>
    <t>PATIÑO ARMIJOS EDISON CARLOS</t>
  </si>
  <si>
    <t>1104892037</t>
  </si>
  <si>
    <t>PRC-M080</t>
  </si>
  <si>
    <t>BUENAÑO NAULA EDWIN JOFFRE</t>
  </si>
  <si>
    <t>1600462590</t>
  </si>
  <si>
    <t>PRC-M081</t>
  </si>
  <si>
    <t>LOPEZ CAMPOVERDE EDWIN PATRICIO</t>
  </si>
  <si>
    <t>1400567200</t>
  </si>
  <si>
    <t>PRC-M082</t>
  </si>
  <si>
    <t>ARIAS ROJAS EVELYN MAYTE</t>
  </si>
  <si>
    <t>1400714851</t>
  </si>
  <si>
    <t>PRC-M083</t>
  </si>
  <si>
    <t>FAREZ YUQUI NELSON JAVIER</t>
  </si>
  <si>
    <t>PRC-M084</t>
  </si>
  <si>
    <t>PUENTE PIÑA FRANK ALEXANDER</t>
  </si>
  <si>
    <t>1400733810</t>
  </si>
  <si>
    <t>PRC-M085</t>
  </si>
  <si>
    <t>RODRIGUEZ CALLE FREDI ALBERTO</t>
  </si>
  <si>
    <t>0301713723</t>
  </si>
  <si>
    <t>PRC-M086</t>
  </si>
  <si>
    <t>GRANDA LEON ROGER STEVE</t>
  </si>
  <si>
    <t>PRC-M087</t>
  </si>
  <si>
    <t>JIMBIQUITE VILLARREAL CRISTOFHER FERNANDO</t>
  </si>
  <si>
    <t>PRC-M088</t>
  </si>
  <si>
    <t>JIRON TITUANA VICENTE JAVIER</t>
  </si>
  <si>
    <t>0704517408</t>
  </si>
  <si>
    <t>PRC-M089</t>
  </si>
  <si>
    <t>LOZANO LOJANO JUAN PABLO</t>
  </si>
  <si>
    <t>1400723472</t>
  </si>
  <si>
    <t>PRC-M090</t>
  </si>
  <si>
    <t>CARDENAS LUNA KAROL EUGENIA</t>
  </si>
  <si>
    <t>1400777171</t>
  </si>
  <si>
    <t>PRC-M091</t>
  </si>
  <si>
    <t>MEJIA MATUTE KEVYN ROBERTH</t>
  </si>
  <si>
    <t>1400968721</t>
  </si>
  <si>
    <t>PRC-M092</t>
  </si>
  <si>
    <t>LOJANO DUCHITANGA JENNY ELIZABETH</t>
  </si>
  <si>
    <t>PRC-M093</t>
  </si>
  <si>
    <t>QUISIRUMBAY RUIZ LUIS DOUGLAS</t>
  </si>
  <si>
    <t>1400891352</t>
  </si>
  <si>
    <t>PRC-M094</t>
  </si>
  <si>
    <t>MERCHAN LUNA LUIS MIGUEL</t>
  </si>
  <si>
    <t>1400615439</t>
  </si>
  <si>
    <t>PRC-M095</t>
  </si>
  <si>
    <t>MADERO VILLALTA GEOVANNA ELIZABETH</t>
  </si>
  <si>
    <t>PRC-M096</t>
  </si>
  <si>
    <t>MEDINA JARAMILLO EDWIN MARCELO</t>
  </si>
  <si>
    <t>PRC-M097</t>
  </si>
  <si>
    <t>MONTENEGRO PALACIOS DAVID HERNAN</t>
  </si>
  <si>
    <t>0107138786</t>
  </si>
  <si>
    <t>PRC-M098</t>
  </si>
  <si>
    <t>NANTIP PAPUE PAUL GREGORIO</t>
  </si>
  <si>
    <t>1400962971</t>
  </si>
  <si>
    <t>PRC-M099</t>
  </si>
  <si>
    <t>PALACIOS JARAMILLO WILFRIDO ANDRES</t>
  </si>
  <si>
    <t>PRC-M100</t>
  </si>
  <si>
    <t>PAPUE PATTI GILBERTO CESAR</t>
  </si>
  <si>
    <t>PRC-M101</t>
  </si>
  <si>
    <t>PEÑAFIEL RAMIREZ BYRON ADRIAN</t>
  </si>
  <si>
    <t>PRC-M102</t>
  </si>
  <si>
    <t>PUGLLA ORDOÑEZ HERNAN ORLANDO</t>
  </si>
  <si>
    <t>1401186968</t>
  </si>
  <si>
    <t>PRC-M103</t>
  </si>
  <si>
    <t>REIBAN QUITO HUGO FERNANDO</t>
  </si>
  <si>
    <t>0102287232</t>
  </si>
  <si>
    <t>PRC-M104</t>
  </si>
  <si>
    <t>RIVADENEIRA JARAMILLO JORGE JAVIER</t>
  </si>
  <si>
    <t>PRC-M105</t>
  </si>
  <si>
    <t>RIVADENEIRA ORTIZ RHONNY SANTIAGO</t>
  </si>
  <si>
    <t>PRC-M106</t>
  </si>
  <si>
    <t>SALINAS LEON JAIME OLIVERIO</t>
  </si>
  <si>
    <t>PRC-M107</t>
  </si>
  <si>
    <t>SHIKI ASAMAT ARUTAM SAMUEL</t>
  </si>
  <si>
    <t>PRC-M108</t>
  </si>
  <si>
    <t>SHUIR YURANGUI MARIO FERNANDO</t>
  </si>
  <si>
    <t>PRC-M109</t>
  </si>
  <si>
    <t>TAPIA ORBEA JUAN JOSE</t>
  </si>
  <si>
    <t>PRC-M110</t>
  </si>
  <si>
    <t>UNKUCH KUNKUMAS ALEX PATRICIO</t>
  </si>
  <si>
    <t>PRC-M111</t>
  </si>
  <si>
    <t>VAZQUEZ GALLEGOS JOSE ANDRES</t>
  </si>
  <si>
    <t>0105758296</t>
  </si>
  <si>
    <t>PRC-M112</t>
  </si>
  <si>
    <t>WACHAPA AYUY MARIO IVAN</t>
  </si>
  <si>
    <t>PRC-M113</t>
  </si>
  <si>
    <t>WACHAPA MASHIANT SHAUK REBECA</t>
  </si>
  <si>
    <t>PRC-M114</t>
  </si>
  <si>
    <t>WACHAPA WACHAPA HERNAN SAMUEL</t>
  </si>
  <si>
    <t>PRC-M115</t>
  </si>
  <si>
    <t>YAMASQUI ANGAMARCA GALO EDMUNDO</t>
  </si>
  <si>
    <t>PRC-M116</t>
  </si>
  <si>
    <t>YANKUR NAYAP MARCELINO</t>
  </si>
  <si>
    <t>PRC-M117</t>
  </si>
  <si>
    <t>ZABALA RIVADENEIRA EDGAR RAMIRO</t>
  </si>
  <si>
    <t>ZAMARENO QUIZHPE BOLIVAR EDUARDO</t>
  </si>
  <si>
    <t>Simón Bolívar, entre las calles 24 de Mayo y 9 de Octubre</t>
  </si>
  <si>
    <t>MORONA SANTIAGO</t>
  </si>
  <si>
    <t>SOLTERO</t>
  </si>
  <si>
    <t>EXTRANJERO</t>
  </si>
  <si>
    <t>MACUMA</t>
  </si>
  <si>
    <t xml:space="preserve">NUEVA LOJA </t>
  </si>
  <si>
    <t>MONTALVO</t>
  </si>
  <si>
    <t>SUCÚA</t>
  </si>
  <si>
    <t xml:space="preserve">SAN BOSCO </t>
  </si>
  <si>
    <t xml:space="preserve">GUAYAQUIL </t>
  </si>
  <si>
    <t>TAISHA</t>
  </si>
  <si>
    <t xml:space="preserve">DON BOSCO </t>
  </si>
  <si>
    <t>AMBAO</t>
  </si>
  <si>
    <t xml:space="preserve">PUYO </t>
  </si>
  <si>
    <t>LOJA</t>
  </si>
  <si>
    <t xml:space="preserve">GUALAQUIZA </t>
  </si>
  <si>
    <t>HUAMBOYA</t>
  </si>
  <si>
    <t xml:space="preserve">EL COCA </t>
  </si>
  <si>
    <t>PALORA</t>
  </si>
  <si>
    <t>CUENCA</t>
  </si>
  <si>
    <t xml:space="preserve">PAUTE </t>
  </si>
  <si>
    <t>TENA</t>
  </si>
  <si>
    <t>QUITO</t>
  </si>
  <si>
    <t xml:space="preserve">RIOBAMBA </t>
  </si>
  <si>
    <t xml:space="preserve">ECUADOR </t>
  </si>
  <si>
    <t xml:space="preserve">ESPAÑA </t>
  </si>
  <si>
    <t xml:space="preserve">CUENCA </t>
  </si>
  <si>
    <t>QUEVEDO</t>
  </si>
  <si>
    <t>TÉCNICO EN AGROPECUARIA</t>
  </si>
  <si>
    <t>INSTITUTO TECNOLOGICO SUPERIOR FRANCISCO FEBRES CORDERO</t>
  </si>
  <si>
    <t>TÉCNICO EN COMERCIO Y ADMINISTRACIÓN</t>
  </si>
  <si>
    <t>UNIDAD EDUCATIVA ALFREDO PEREZ CHIRIBOGA</t>
  </si>
  <si>
    <t>UNIDAD EDUCATIVA TAISHA</t>
  </si>
  <si>
    <t>COLEGIO DE BACHILLERATO CAMILO GALLEGOS TOLEDO</t>
  </si>
  <si>
    <t>UNIDAD EDUCATIVA TEMPORAL JAVERIANO</t>
  </si>
  <si>
    <t>UNIDAD EDUCATIVA DON BOSCO</t>
  </si>
  <si>
    <t>UNIDAD EDUCATIVA TEMPORAL LUIS ROGERIO GONZALEZ</t>
  </si>
  <si>
    <t>TÉCNICO INDUSTRIAL</t>
  </si>
  <si>
    <t>COLEGIO DE BACHILLERATO PARTICULAR PRESIDENTE CORDERO</t>
  </si>
  <si>
    <t>INSTITUTO TECNOLOGICO SUPERIOR EL ORO</t>
  </si>
  <si>
    <t>UNIDAD EDUCATIVA 12 DE FEBRERO</t>
  </si>
  <si>
    <t>CONTADOR BACHILLER</t>
  </si>
  <si>
    <t>UNIDAD EDUCATIVA PARTICULAR EMANUEL</t>
  </si>
  <si>
    <t>UNIDAD EDUCATIVA FISCOMISIONAL INTERCULTURAL BILINGÜE "ETSA"</t>
  </si>
  <si>
    <t>UNIDAD EDUCATIVA FISCOMISIONAL MARIA AUXILIADORA</t>
  </si>
  <si>
    <t>TÉCNICO POLIVALENTE EN ADMINISTRACIÓN</t>
  </si>
  <si>
    <t>UNIDAD EDUCATIVA AMERICA</t>
  </si>
  <si>
    <t>UNIDAD EDUCATIVA PCEI REPÚBLICA DE ARGENTINA</t>
  </si>
  <si>
    <t xml:space="preserve">UNIDAD EDUCATIVA JUAN PIO MONTUFAR </t>
  </si>
  <si>
    <t>TÉCNICO DE SERVICIOS</t>
  </si>
  <si>
    <t>U ED DR CAMILO GALLEGOS DOMINGUEZ EXTENSION EBENEZER</t>
  </si>
  <si>
    <t>UNIDAD EDUCATIVA PCEI “EVEREST”</t>
  </si>
  <si>
    <t>UNIDAD EDUCATIVA “CAMILO GALLEGOS DOMÍNGUEZ”</t>
  </si>
  <si>
    <t>UNIDAD EDUCATIVA FISCOMISIONAL RÍO UPANO</t>
  </si>
  <si>
    <t>INGENIERO EN GEOLOGIA Y MINAS</t>
  </si>
  <si>
    <t>INGENIERO AGRONOMO</t>
  </si>
  <si>
    <t>UNIVERSIDAD TECNOLOGICA INDOAMERICA</t>
  </si>
  <si>
    <t>MAGISTER EN GESTION DE PROYECTOS SOCIO PRODUCTIVOS</t>
  </si>
  <si>
    <t>UNIVERSIDAD TECNICA PARTICULAR DE LOJA</t>
  </si>
  <si>
    <t>UNIVERSIDAD ESTATAL AMAZONICA</t>
  </si>
  <si>
    <t>INGENIERO AMBIENTAL</t>
  </si>
  <si>
    <t>UNIVERSIDAD TECNICA DE AMBATO</t>
  </si>
  <si>
    <t>INGENIERA CIVIL CON ENFASIS EN GERENCIA DE CONSTRUCCIONES</t>
  </si>
  <si>
    <t>MASTER UNIVERSITARIO EN HERRAMIENTAS Y TECNOLOGIAS PARA EL DISEÑO DE ESPACIOS ARQUITECTONICOS INTELIGENTES</t>
  </si>
  <si>
    <t>UNIVERSIDAD DE GUAYAQUIL</t>
  </si>
  <si>
    <t>ESCUELA POLITECNICA JAVERIANA DEL ECUADOR</t>
  </si>
  <si>
    <t>INGENIERO EN MECANICA AUTOMOTRIZ</t>
  </si>
  <si>
    <t>INSTITUTO TECNOLÓGICO SUPERIOR EL ORO</t>
  </si>
  <si>
    <t>TECNOLOGO EN ELECTRICIDAD</t>
  </si>
  <si>
    <t>UNIVERSIDAD INTERCULTURAL DE LAS NACIONALIDADES Y PUEBLOS INDIGENAS AMAWTAY WASI</t>
  </si>
  <si>
    <t>LICENCIADO EN CIENCIAS DE LA EDUCACION CON MENCION EN PEDAGOGIA INTERCULTURAL</t>
  </si>
  <si>
    <t>ECONOMISTA</t>
  </si>
  <si>
    <t>INGENIERO/A CIVIL</t>
  </si>
  <si>
    <t>ESCUELA POLITECNICA NACIONAL</t>
  </si>
  <si>
    <t>INGENIERO MECANICO</t>
  </si>
  <si>
    <t>INGENIERO AMBIENTAL Y EN CONSTRUCCIONES ECOLOGICAS</t>
  </si>
  <si>
    <t>INGENIERA AMBIENTAL Y EN CONSTRUCCIONES ECOLOGICAS</t>
  </si>
  <si>
    <t>INGENIERO DE ALIMENTOS</t>
  </si>
  <si>
    <t>SICOLOGA CLINICA</t>
  </si>
  <si>
    <t>UNIVERSIDAD DE LAS AMERICAS</t>
  </si>
  <si>
    <t>MAGISTER EN PSICOTERAPIA</t>
  </si>
  <si>
    <t>INGENIERO MECANICO AUTOMOTRIZ</t>
  </si>
  <si>
    <t>UNIVERSIDAD CENTRAL DEL ECUADOR</t>
  </si>
  <si>
    <t>INGENIERA CIVIL</t>
  </si>
  <si>
    <t>MAGISTER EN HIDROSANITARIA</t>
  </si>
  <si>
    <t>INGENIERO EMPRESARIAL</t>
  </si>
  <si>
    <t>DOCTOR EN MEDICINA Y CIRUGIA</t>
  </si>
  <si>
    <t>PONTIFICIA UNIVERSIDAD CATOLICA DEL ECUADOR</t>
  </si>
  <si>
    <t>GUAYAQUIL</t>
  </si>
  <si>
    <t>PUYO</t>
  </si>
  <si>
    <t>GUALEA</t>
  </si>
  <si>
    <t>AMBATO</t>
  </si>
  <si>
    <t xml:space="preserve">LOJA </t>
  </si>
  <si>
    <t xml:space="preserve">EL ORO </t>
  </si>
  <si>
    <t>BIBLIÁN</t>
  </si>
  <si>
    <t>LAGO AGRIO</t>
  </si>
  <si>
    <t xml:space="preserve">LAGO AGRIO </t>
  </si>
  <si>
    <t>AZOGUES</t>
  </si>
  <si>
    <t>SANTIAGO DE MÉNDEZ</t>
  </si>
  <si>
    <t>ZAMORA</t>
  </si>
  <si>
    <t>MACHALA</t>
  </si>
  <si>
    <t>BOMBOIZA</t>
  </si>
  <si>
    <t>LA MANÁ</t>
  </si>
  <si>
    <t>DIRECCIÓN</t>
  </si>
  <si>
    <t>CAPACITACIÓN</t>
  </si>
  <si>
    <t>CURSO</t>
  </si>
  <si>
    <t>INSTITUCIÓN</t>
  </si>
  <si>
    <t>FECHAS.CURSO</t>
  </si>
  <si>
    <t>HORAS.CURSO</t>
  </si>
  <si>
    <t>CENTRO DE CAPACITACIONES PROFESIONALES DEL ECUADOR</t>
  </si>
  <si>
    <t>Desde el 06 hasta el 10 de julio de 2026</t>
  </si>
  <si>
    <t>NAHALY OLAYA GERENTE DE CPROEC S.A.S</t>
  </si>
  <si>
    <t>magno.antun@gmail.com</t>
  </si>
  <si>
    <t>nicolas.apic@gmail.com</t>
  </si>
  <si>
    <t>segundo.arevalo@gmail.com</t>
  </si>
  <si>
    <t>wellinton.calle@gmail.com</t>
  </si>
  <si>
    <t>michel.catani@gmail.com</t>
  </si>
  <si>
    <t>juan.cayapa@gmail.com</t>
  </si>
  <si>
    <t>cesar.cayapa@gmail.com</t>
  </si>
  <si>
    <t>rusari.chiarmach@gmail.com</t>
  </si>
  <si>
    <t>gilson.chiriapa@gmail.com</t>
  </si>
  <si>
    <t>fernando.chiriboga@gmail.com</t>
  </si>
  <si>
    <t>edwin.chiriboga@gmail.com</t>
  </si>
  <si>
    <t>freddy.chiriboga@gmail.com</t>
  </si>
  <si>
    <t>luis.delgado@gmail.com</t>
  </si>
  <si>
    <t>jorge.diaz@gmail.com</t>
  </si>
  <si>
    <t>margarita.etsaa@gmail.com</t>
  </si>
  <si>
    <t>marvin.gallardo@gmail.com</t>
  </si>
  <si>
    <t>clever.gomez@gmail.com</t>
  </si>
  <si>
    <t>elder.guachichulca@gmail.com</t>
  </si>
  <si>
    <t>jairo.guajare@gmail.com</t>
  </si>
  <si>
    <t>alberto.guaman@gmail.com</t>
  </si>
  <si>
    <t>yolanda.jaramillo@gmail.com</t>
  </si>
  <si>
    <t>alejandro.jaramillo@gmail.com</t>
  </si>
  <si>
    <t>jorge.jimenez@gmail.com</t>
  </si>
  <si>
    <t>david.juank@gmail.com</t>
  </si>
  <si>
    <t>jorge.juwa@gmail.com</t>
  </si>
  <si>
    <t>cesar.kaasap@gmail.com</t>
  </si>
  <si>
    <t>ramiro.kajekai@gmail.com</t>
  </si>
  <si>
    <t>pedro.kajekai@gmail.com</t>
  </si>
  <si>
    <t>paul.kaniras@gmail.com</t>
  </si>
  <si>
    <t>bayron.kaniras@gmail.com</t>
  </si>
  <si>
    <t>jordan.kawarim@gmail.com</t>
  </si>
  <si>
    <t>manuel.macas@gmail.com</t>
  </si>
  <si>
    <t>alexandro.mashiant@gmail.com</t>
  </si>
  <si>
    <t>pablo.mayak@gmail.com</t>
  </si>
  <si>
    <t>pedro.merino@gmail.com</t>
  </si>
  <si>
    <t>augusto.montenegro@gmail.com</t>
  </si>
  <si>
    <t>jorge.morocho@gmail.com</t>
  </si>
  <si>
    <t>gonzalo.morocho@gmail.com</t>
  </si>
  <si>
    <t>juan.nawech@gmail.com</t>
  </si>
  <si>
    <t>washington.nivelo@gmail.com</t>
  </si>
  <si>
    <t>rafael.petroche@gmail.com</t>
  </si>
  <si>
    <t>erik.pujupata@gmail.com</t>
  </si>
  <si>
    <t>luis.quisirumbay@gmail.com</t>
  </si>
  <si>
    <t>robinzon.raigoza@gmail.com</t>
  </si>
  <si>
    <t>luiggui.riofrio@gmail.com</t>
  </si>
  <si>
    <t>jefferson.rivadeneira@gmail.com</t>
  </si>
  <si>
    <t>adrian.rodas@gmail.com</t>
  </si>
  <si>
    <t>rene.rodriguez@gmail.com</t>
  </si>
  <si>
    <t>jose.suambra@gmail.com</t>
  </si>
  <si>
    <t>ramon.taish@gmail.com</t>
  </si>
  <si>
    <t>jacob.tasham@gmail.com</t>
  </si>
  <si>
    <t>gilberto.tiriruk@gmail.com</t>
  </si>
  <si>
    <t>jonny.tiwirma@gmail.com</t>
  </si>
  <si>
    <t>federico.tsere@gmail.com</t>
  </si>
  <si>
    <t>elvis.wachapa@gmail.com</t>
  </si>
  <si>
    <t>fredy.wajuyata@gmail.com</t>
  </si>
  <si>
    <t>grismaldo.wamputsrik@gmail.com</t>
  </si>
  <si>
    <t>alvaro.morocho@gmail.com</t>
  </si>
  <si>
    <t>angel.astudillo@gmail.com</t>
  </si>
  <si>
    <t>julio.barba@gmail.com</t>
  </si>
  <si>
    <t>juan.barreto@gmail.com</t>
  </si>
  <si>
    <t>edwin.blandin@gmail.com</t>
  </si>
  <si>
    <t>andy.burbano@gmail.com</t>
  </si>
  <si>
    <t>jhony.cabrera@gmail.com</t>
  </si>
  <si>
    <t>joel.caivinagua@gmail.com</t>
  </si>
  <si>
    <t>carlos.jerves@gmail.com</t>
  </si>
  <si>
    <t>jhoana.castro@gmail.com</t>
  </si>
  <si>
    <t>byron.catani@gmail.com</t>
  </si>
  <si>
    <t>wilmer.chamikiar@gmail.com</t>
  </si>
  <si>
    <t>jonathan.conforme@gmail.com</t>
  </si>
  <si>
    <t>cristian.guaman@gmail.com</t>
  </si>
  <si>
    <t>damary.ortiz@gmail.com</t>
  </si>
  <si>
    <t>diego.delgado@gmail.com</t>
  </si>
  <si>
    <t>diego.chacha@gmail.com</t>
  </si>
  <si>
    <t>dorian.marin@gmail.com</t>
  </si>
  <si>
    <t>edgar.serrano@gmail.com</t>
  </si>
  <si>
    <t>edison.patiño@gmail.com</t>
  </si>
  <si>
    <t>edwin.buenaño@gmail.com</t>
  </si>
  <si>
    <t>edwin.lopez@gmail.com</t>
  </si>
  <si>
    <t>evelyn.arias@gmail.com</t>
  </si>
  <si>
    <t>nelson.farez@gmail.com</t>
  </si>
  <si>
    <t>frank.puente@gmail.com</t>
  </si>
  <si>
    <t>fredi.rodriguez@gmail.com</t>
  </si>
  <si>
    <t>roger.granda@gmail.com</t>
  </si>
  <si>
    <t>cristofher.jimbiquite@gmail.com</t>
  </si>
  <si>
    <t>vicente.jiron@gmail.com</t>
  </si>
  <si>
    <t>juan.lozano@gmail.com</t>
  </si>
  <si>
    <t>karol.cardenas@gmail.com</t>
  </si>
  <si>
    <t>kevyn.mejia@gmail.com</t>
  </si>
  <si>
    <t>jenny.lojano@gmail.com</t>
  </si>
  <si>
    <t>luis.merchan@gmail.com</t>
  </si>
  <si>
    <t>geovanna.madero@gmail.com</t>
  </si>
  <si>
    <t>edwin.medina@gmail.com</t>
  </si>
  <si>
    <t>david.montenegro@gmail.com</t>
  </si>
  <si>
    <t>paul.nantip@gmail.com</t>
  </si>
  <si>
    <t>wilfrido.palacios@gmail.com</t>
  </si>
  <si>
    <t>gilberto.papue@gmail.com</t>
  </si>
  <si>
    <t>byron.peñafiel@gmail.com</t>
  </si>
  <si>
    <t>hernan.puglla@gmail.com</t>
  </si>
  <si>
    <t>hugo.reiban@gmail.com</t>
  </si>
  <si>
    <t>jorge.rivadeneira@gmail.com</t>
  </si>
  <si>
    <t>rhonny.rivadeneira@gmail.com</t>
  </si>
  <si>
    <t>jaime.salinas@gmail.com</t>
  </si>
  <si>
    <t>samuel.shiki@gmail.com</t>
  </si>
  <si>
    <t>mario.shuir@gmail.com</t>
  </si>
  <si>
    <t>juan.tapia@gmail.com</t>
  </si>
  <si>
    <t>alex.unkuch@gmail.com</t>
  </si>
  <si>
    <t>jose.vazquez@gmail.com</t>
  </si>
  <si>
    <t>mario.wachapa@gmail.com</t>
  </si>
  <si>
    <t>rebeca.wachapa@gmail.com</t>
  </si>
  <si>
    <t>hernan.wachapa@gmail.com</t>
  </si>
  <si>
    <t>galo.yamasqui@gmail.com</t>
  </si>
  <si>
    <t>marcelino.yankur@gmail.com</t>
  </si>
  <si>
    <t>edgar.zabala@gmail.com</t>
  </si>
  <si>
    <t>bolivar.zamareno@gmail.com</t>
  </si>
  <si>
    <t>ESTUDIO CAPTEEC</t>
  </si>
  <si>
    <t>INSTITUCION</t>
  </si>
  <si>
    <t xml:space="preserve">CAPTEEC Centro de Capacitacion Tecnica - Empresarial &amp; Tutorias </t>
  </si>
  <si>
    <t>LA TRONCAL</t>
  </si>
  <si>
    <t>1400609218</t>
  </si>
  <si>
    <t>AYUDANTE DE OBRA</t>
  </si>
  <si>
    <t>RESIDENTE DE OBRA</t>
  </si>
  <si>
    <t>QW</t>
  </si>
  <si>
    <t>SUPERVISOR DE OBRA</t>
  </si>
  <si>
    <t>0989674747</t>
  </si>
  <si>
    <t>0999764372</t>
  </si>
  <si>
    <t>0939893734</t>
  </si>
  <si>
    <t>0989746754</t>
  </si>
  <si>
    <t>0989673242</t>
  </si>
  <si>
    <t>GOBIERNO AUTÓNOMO DESCENTRALIZADO PROVINCIAL DE MORONA SANTIAGO</t>
  </si>
  <si>
    <t>EXCCL-4885514</t>
  </si>
  <si>
    <t>EXCCL-9683241</t>
  </si>
  <si>
    <t>EXCCL-4387297</t>
  </si>
  <si>
    <t>EXCCL-7925052</t>
  </si>
  <si>
    <t>EXCCL-4460622</t>
  </si>
  <si>
    <t>0998674271</t>
  </si>
  <si>
    <t>0989334258</t>
  </si>
  <si>
    <t>0989673457</t>
  </si>
  <si>
    <t>erich.cedeno@gmail.com</t>
  </si>
  <si>
    <t>0989764345</t>
  </si>
  <si>
    <t>0989673427</t>
  </si>
  <si>
    <t>EXCCL-8584508</t>
  </si>
  <si>
    <t>EXCCL-4060725</t>
  </si>
  <si>
    <t>EXCCL-3695707</t>
  </si>
  <si>
    <t>EXCCL-5280041</t>
  </si>
  <si>
    <t>EXCCL-4951195</t>
  </si>
  <si>
    <t>0939476224</t>
  </si>
  <si>
    <t>EXCCL-4619572</t>
  </si>
  <si>
    <t>0989635232</t>
  </si>
  <si>
    <t>EXCCL-83002</t>
  </si>
  <si>
    <t>0989637425</t>
  </si>
  <si>
    <t>0963212427</t>
  </si>
  <si>
    <t>0989647474</t>
  </si>
  <si>
    <t>0987967642</t>
  </si>
  <si>
    <t>0989676427</t>
  </si>
  <si>
    <t>EXCCL-4225526</t>
  </si>
  <si>
    <t>EXCCL-8096871</t>
  </si>
  <si>
    <t>EXCCL-8671251</t>
  </si>
  <si>
    <t>EXCCL-4057138</t>
  </si>
  <si>
    <t>EXCCL-9550365</t>
  </si>
  <si>
    <t>0989673444</t>
  </si>
  <si>
    <t>0996324577</t>
  </si>
  <si>
    <t>0997686734</t>
  </si>
  <si>
    <t>0989674225</t>
  </si>
  <si>
    <t>EXCCL-2053271</t>
  </si>
  <si>
    <t>EXCCL-7697964</t>
  </si>
  <si>
    <t>EXCCL-3744346</t>
  </si>
  <si>
    <t>EXCCL-7010492</t>
  </si>
  <si>
    <t>0987643724</t>
  </si>
  <si>
    <t>0989676472</t>
  </si>
  <si>
    <t>0987643733</t>
  </si>
  <si>
    <t>0989687645</t>
  </si>
  <si>
    <t>EXCCL-2417978</t>
  </si>
  <si>
    <t>EXCCL-6670707</t>
  </si>
  <si>
    <t>EXCCL-4040971</t>
  </si>
  <si>
    <t>EXCCL-1428611</t>
  </si>
  <si>
    <t>0927463564</t>
  </si>
  <si>
    <t>0998764745</t>
  </si>
  <si>
    <t>0979867474</t>
  </si>
  <si>
    <t>0936879785</t>
  </si>
  <si>
    <t>EXCCL-9762032</t>
  </si>
  <si>
    <t>EXCCL-1130575</t>
  </si>
  <si>
    <t>EXCCL-1029980</t>
  </si>
  <si>
    <t>EXCCL-940483</t>
  </si>
  <si>
    <t>EXCCL-7723581</t>
  </si>
  <si>
    <t>0987976437</t>
  </si>
  <si>
    <t>0989764754</t>
  </si>
  <si>
    <t>0989687331</t>
  </si>
  <si>
    <t>0989676475</t>
  </si>
  <si>
    <t>EXCCL-3240870</t>
  </si>
  <si>
    <t>EXCCL-7354445</t>
  </si>
  <si>
    <t>EXCCL-2662414</t>
  </si>
  <si>
    <t>EXCCL-1235085</t>
  </si>
  <si>
    <t>EXCCL-6419</t>
  </si>
  <si>
    <t>EXCCL-5144393</t>
  </si>
  <si>
    <t>0954123658</t>
  </si>
  <si>
    <t>0979867644</t>
  </si>
  <si>
    <t>0998766476</t>
  </si>
  <si>
    <t>0987452196</t>
  </si>
  <si>
    <t>edwin.munoz@gmail.com</t>
  </si>
  <si>
    <t>0956325698</t>
  </si>
  <si>
    <t>0985412485</t>
  </si>
  <si>
    <t>0952132547</t>
  </si>
  <si>
    <t>0958213254</t>
  </si>
  <si>
    <t>0954123698</t>
  </si>
  <si>
    <t>0985632547</t>
  </si>
  <si>
    <t>0954213658</t>
  </si>
  <si>
    <t>EXCCL-7804101</t>
  </si>
  <si>
    <t>EXCCL-6516418</t>
  </si>
  <si>
    <t>EXCCL-585301</t>
  </si>
  <si>
    <t>EXCCL-9647874</t>
  </si>
  <si>
    <t>EXCCL-5571695</t>
  </si>
  <si>
    <t>EXCCL-4578958</t>
  </si>
  <si>
    <t>EXCCL-6969457</t>
  </si>
  <si>
    <t>EXCCL-6387902</t>
  </si>
  <si>
    <t>EXCCL-2574259</t>
  </si>
  <si>
    <t>GRUPO 1</t>
  </si>
  <si>
    <t>GRUPO 2</t>
  </si>
  <si>
    <t>EXCCL-4377399</t>
  </si>
  <si>
    <t>0986673464</t>
  </si>
  <si>
    <t>0978967342</t>
  </si>
  <si>
    <t>0989764729</t>
  </si>
  <si>
    <t>0986472427</t>
  </si>
  <si>
    <t>0989676747</t>
  </si>
  <si>
    <t>EXCCL-5980722</t>
  </si>
  <si>
    <t>EXCCL-6199995</t>
  </si>
  <si>
    <t>EXCCL-1533976</t>
  </si>
  <si>
    <t>EXCCL-2206305</t>
  </si>
  <si>
    <t>EXCCL-5012700</t>
  </si>
  <si>
    <t>EXCCL-5752016</t>
  </si>
  <si>
    <t>EXCCL-8345141</t>
  </si>
  <si>
    <t>EXCCL-2803885</t>
  </si>
  <si>
    <t>0998672231</t>
  </si>
  <si>
    <t>0989621613</t>
  </si>
  <si>
    <t>0936654872</t>
  </si>
  <si>
    <t>0986345356</t>
  </si>
  <si>
    <t>0989467422</t>
  </si>
  <si>
    <t>0939699141</t>
  </si>
  <si>
    <t>0997643745</t>
  </si>
  <si>
    <t>0939752637</t>
  </si>
  <si>
    <t>0989763427</t>
  </si>
  <si>
    <t>0989674742</t>
  </si>
  <si>
    <t>0986742754</t>
  </si>
  <si>
    <t>0914163826</t>
  </si>
  <si>
    <t>0989967647</t>
  </si>
  <si>
    <t>0997876467</t>
  </si>
  <si>
    <t>0964256452</t>
  </si>
  <si>
    <t>PRIMARIA</t>
  </si>
  <si>
    <t>PRC-M119</t>
  </si>
  <si>
    <t>EXCCL-7706550</t>
  </si>
  <si>
    <t>EXCCL-2744255</t>
  </si>
  <si>
    <t>EXCCL-8028683</t>
  </si>
  <si>
    <t>EXCCL-9245662</t>
  </si>
  <si>
    <t>EXCCL-9541024</t>
  </si>
  <si>
    <t>EXCCL-9465921</t>
  </si>
  <si>
    <t>EXCCL-1647243</t>
  </si>
  <si>
    <t>EXCCL-4805538</t>
  </si>
  <si>
    <t>EXCCL-4233669</t>
  </si>
  <si>
    <t>EXCCL-1091083</t>
  </si>
  <si>
    <t>EXCCL-5011464</t>
  </si>
  <si>
    <t>EXCCL-7886939</t>
  </si>
  <si>
    <t>EXCCL-2090894</t>
  </si>
  <si>
    <t>EXCCL-5344133</t>
  </si>
  <si>
    <t>EXCCL-7075513</t>
  </si>
  <si>
    <t>EXCCL-1339657</t>
  </si>
  <si>
    <t>EXCCL-8323169</t>
  </si>
  <si>
    <t>EXCCL-1452561</t>
  </si>
  <si>
    <t>EXCCL-3871220</t>
  </si>
  <si>
    <t>EXCCL-9885214</t>
  </si>
  <si>
    <t>EXCCL-6435248</t>
  </si>
  <si>
    <t>EXCCL-3432218</t>
  </si>
  <si>
    <t>EXCCL-6608781</t>
  </si>
  <si>
    <t>EXCCL-5342216</t>
  </si>
  <si>
    <t>EXCCL-8656377</t>
  </si>
  <si>
    <t>0998674322</t>
  </si>
  <si>
    <t>0989673429</t>
  </si>
  <si>
    <t>0963549782</t>
  </si>
  <si>
    <t>0998767324</t>
  </si>
  <si>
    <t>0989673412</t>
  </si>
  <si>
    <t>0939695528</t>
  </si>
  <si>
    <t>0979864372</t>
  </si>
  <si>
    <t>0989676437</t>
  </si>
  <si>
    <t>0978976275</t>
  </si>
  <si>
    <t>0989763641</t>
  </si>
  <si>
    <t>0998673366</t>
  </si>
  <si>
    <t>0968767424</t>
  </si>
  <si>
    <t>0986373427</t>
  </si>
  <si>
    <t>0987342755</t>
  </si>
  <si>
    <t>0998674334</t>
  </si>
  <si>
    <t>0989764671</t>
  </si>
  <si>
    <t>0989764372</t>
  </si>
  <si>
    <t>0989764374</t>
  </si>
  <si>
    <t>0986734216</t>
  </si>
  <si>
    <t>0998732622</t>
  </si>
  <si>
    <t>0979987642</t>
  </si>
  <si>
    <t>0986764272</t>
  </si>
  <si>
    <t>CPROEC S.A.S</t>
  </si>
  <si>
    <t>0979867427</t>
  </si>
  <si>
    <t>0987247246</t>
  </si>
  <si>
    <t>0986747466</t>
  </si>
  <si>
    <t>0989672427</t>
  </si>
  <si>
    <t>0989764818</t>
  </si>
  <si>
    <t>0989764272</t>
  </si>
  <si>
    <t>0989742756</t>
  </si>
  <si>
    <t>0989675734</t>
  </si>
  <si>
    <t>0979866427</t>
  </si>
  <si>
    <t>0968674949</t>
  </si>
  <si>
    <t>0989764674</t>
  </si>
  <si>
    <t>0986674278</t>
  </si>
  <si>
    <t>0978967475</t>
  </si>
  <si>
    <t>0979867141</t>
  </si>
  <si>
    <t>0979867455</t>
  </si>
  <si>
    <t>0989764512</t>
  </si>
  <si>
    <t>0987437547</t>
  </si>
  <si>
    <t>0997867478</t>
  </si>
  <si>
    <t>0978976476</t>
  </si>
  <si>
    <t>0987642785</t>
  </si>
  <si>
    <t>0986671645</t>
  </si>
  <si>
    <t>0998734576</t>
  </si>
  <si>
    <t>0978764322</t>
  </si>
  <si>
    <t>0978676547</t>
  </si>
  <si>
    <t>0978974651</t>
  </si>
  <si>
    <t>0998764266</t>
  </si>
  <si>
    <t>0986764274</t>
  </si>
  <si>
    <t>EXCCL-3254425</t>
  </si>
  <si>
    <t>EXCCL-9025341</t>
  </si>
  <si>
    <t>EXCCL-7490146</t>
  </si>
  <si>
    <t>EXCCL-4940741</t>
  </si>
  <si>
    <t>EXCCL-845169</t>
  </si>
  <si>
    <t>EXCCL-6909603</t>
  </si>
  <si>
    <t>EXCCL-7512951</t>
  </si>
  <si>
    <t>EXCCL-945530</t>
  </si>
  <si>
    <t>EXCCL-1556960</t>
  </si>
  <si>
    <t>EXCCL-5235947</t>
  </si>
  <si>
    <t>EXCCL-1797659</t>
  </si>
  <si>
    <t>EXCCL-2676199</t>
  </si>
  <si>
    <t>EXCCL-6231556</t>
  </si>
  <si>
    <t>EXCCL-8983278</t>
  </si>
  <si>
    <t>EXCCL-4712468</t>
  </si>
  <si>
    <t>EXCCL-465176</t>
  </si>
  <si>
    <t>EXCCL-8917921</t>
  </si>
  <si>
    <t>EXCCL-6094313</t>
  </si>
  <si>
    <t>EXCCL-5056226</t>
  </si>
  <si>
    <t>EXCCL-3118714</t>
  </si>
  <si>
    <t>EXCCL-1053353</t>
  </si>
  <si>
    <t>EXCCL-74788</t>
  </si>
  <si>
    <t>EXCCL-336920</t>
  </si>
  <si>
    <t>EXCCL-2283657</t>
  </si>
  <si>
    <t>EXCCL-9023789</t>
  </si>
  <si>
    <t>EXCCL-3212811</t>
  </si>
  <si>
    <t>EXCCL-9786253</t>
  </si>
  <si>
    <t>EXCCL-8309360</t>
  </si>
  <si>
    <t>EXCCL-2729080</t>
  </si>
  <si>
    <t>CERTIFICADO</t>
  </si>
  <si>
    <t xml:space="preserve">DADO DE BAJA </t>
  </si>
  <si>
    <t>PRC-2628</t>
  </si>
  <si>
    <t>PRC-2629</t>
  </si>
  <si>
    <t>PRC-2630</t>
  </si>
  <si>
    <t>PRC-2631</t>
  </si>
  <si>
    <t>PRC-2632</t>
  </si>
  <si>
    <t>PRC-2633</t>
  </si>
  <si>
    <t>PRC-2634</t>
  </si>
  <si>
    <t>PRC-2635</t>
  </si>
  <si>
    <t>PRC-2636</t>
  </si>
  <si>
    <t>PRC-2637</t>
  </si>
  <si>
    <t>PRC-2638</t>
  </si>
  <si>
    <t>PRC-2639</t>
  </si>
  <si>
    <t>PRC-2640</t>
  </si>
  <si>
    <t>PRC-2641</t>
  </si>
  <si>
    <t>PRC-2642</t>
  </si>
  <si>
    <t>PRC-2643</t>
  </si>
  <si>
    <t>PRC-2644</t>
  </si>
  <si>
    <t>PRC-2645</t>
  </si>
  <si>
    <t>PRC-2646</t>
  </si>
  <si>
    <t>PRC-2647</t>
  </si>
  <si>
    <t>PRC-2648</t>
  </si>
  <si>
    <t>PRC-2649</t>
  </si>
  <si>
    <t>PRC-2650</t>
  </si>
  <si>
    <t>PRC-2651</t>
  </si>
  <si>
    <t>PRC-2652</t>
  </si>
  <si>
    <t>PRC-2653</t>
  </si>
  <si>
    <t>PRC-2654</t>
  </si>
  <si>
    <t>PRC-2655</t>
  </si>
  <si>
    <t>PRC-2656</t>
  </si>
  <si>
    <t>PRC-2657</t>
  </si>
  <si>
    <t>PRC-2658</t>
  </si>
  <si>
    <t>PRC-2659</t>
  </si>
  <si>
    <t>PRC-2660</t>
  </si>
  <si>
    <t>PRC-2661</t>
  </si>
  <si>
    <t>PRC-2662</t>
  </si>
  <si>
    <t>PRC-2663</t>
  </si>
  <si>
    <t>PRC-2664</t>
  </si>
  <si>
    <t>PRC-2665</t>
  </si>
  <si>
    <t>PRC-2666</t>
  </si>
  <si>
    <t>PRC-2667</t>
  </si>
  <si>
    <t>PRC-2668</t>
  </si>
  <si>
    <t>PRC-2669</t>
  </si>
  <si>
    <t>PRC-2670</t>
  </si>
  <si>
    <t>PRC-2671</t>
  </si>
  <si>
    <t>PRC-2672</t>
  </si>
  <si>
    <t>CERTIFICADOS</t>
  </si>
  <si>
    <t>DADOS DE BAJA</t>
  </si>
  <si>
    <t>PRC-2681</t>
  </si>
  <si>
    <t>PRC-2682</t>
  </si>
  <si>
    <t>PRC-2683</t>
  </si>
  <si>
    <t>PRC-2684</t>
  </si>
  <si>
    <t>PRC-2685</t>
  </si>
  <si>
    <t>PRC-2686</t>
  </si>
  <si>
    <t>PRC-2687</t>
  </si>
  <si>
    <t>PRC-2688</t>
  </si>
  <si>
    <t>PRC-2689</t>
  </si>
  <si>
    <t>PRC-2690</t>
  </si>
  <si>
    <t>PRC-2691</t>
  </si>
  <si>
    <t>PRC-2692</t>
  </si>
  <si>
    <t>PRC-2693</t>
  </si>
  <si>
    <t>PRC-2694</t>
  </si>
  <si>
    <t>PRC-2695</t>
  </si>
  <si>
    <t>PRC-2696</t>
  </si>
  <si>
    <t>PRC-2697</t>
  </si>
  <si>
    <t>PRC-2698</t>
  </si>
  <si>
    <t>PRC-2699</t>
  </si>
  <si>
    <t>PRC-2700</t>
  </si>
  <si>
    <t>PRC-2705</t>
  </si>
  <si>
    <t>PRC-2706</t>
  </si>
  <si>
    <t>PRC-2707</t>
  </si>
  <si>
    <t>PRC-2708</t>
  </si>
  <si>
    <t>PRC-2709</t>
  </si>
  <si>
    <t>PRC-2710</t>
  </si>
  <si>
    <t>PRC-2711</t>
  </si>
  <si>
    <t>PRC-2712</t>
  </si>
  <si>
    <t>PRC-2713</t>
  </si>
  <si>
    <t>PRC-2714</t>
  </si>
  <si>
    <t>PRC-2715</t>
  </si>
  <si>
    <t>PRC-2716</t>
  </si>
  <si>
    <t>PRC-2717</t>
  </si>
  <si>
    <t>PRC-2718</t>
  </si>
  <si>
    <t>PRC-2719</t>
  </si>
  <si>
    <t>PRC-2720</t>
  </si>
  <si>
    <t>PRC-2721</t>
  </si>
  <si>
    <t>PRC-2722</t>
  </si>
  <si>
    <t>PRC-2723</t>
  </si>
  <si>
    <t>PRC-2724</t>
  </si>
  <si>
    <t>PRC-2725</t>
  </si>
  <si>
    <t>PRC-2726</t>
  </si>
  <si>
    <t>PRC-2727</t>
  </si>
  <si>
    <t>PRC-2728</t>
  </si>
  <si>
    <t>PRC-2729</t>
  </si>
  <si>
    <t>PRC-M118</t>
  </si>
  <si>
    <t>N°</t>
  </si>
  <si>
    <t>PRC-2741</t>
  </si>
  <si>
    <t>PRC-2742</t>
  </si>
  <si>
    <t>PRC-2743</t>
  </si>
  <si>
    <t>PRC-2744</t>
  </si>
  <si>
    <t>PRC-2745</t>
  </si>
  <si>
    <t>PRC-2746</t>
  </si>
  <si>
    <t>PRC-2747</t>
  </si>
  <si>
    <t>PRC-2748</t>
  </si>
  <si>
    <t>PRC-2749</t>
  </si>
  <si>
    <t>PRC-2750</t>
  </si>
  <si>
    <t>PRC-2751</t>
  </si>
  <si>
    <t>PRC-2752</t>
  </si>
  <si>
    <t>PRC-2753</t>
  </si>
  <si>
    <t>PRC-2754</t>
  </si>
  <si>
    <t>PRC-2755</t>
  </si>
  <si>
    <t>PRC-2756</t>
  </si>
  <si>
    <t>PRC-2757</t>
  </si>
  <si>
    <t>PRC-2758</t>
  </si>
  <si>
    <t>PRC-2759</t>
  </si>
  <si>
    <t>PRC-2760</t>
  </si>
  <si>
    <t>PRC-2761</t>
  </si>
  <si>
    <t>PRC-2762</t>
  </si>
  <si>
    <t>PRC-2763</t>
  </si>
  <si>
    <t>PRC-2764</t>
  </si>
  <si>
    <t>PRC-2765</t>
  </si>
  <si>
    <t>PRC-2766</t>
  </si>
  <si>
    <t>PRC-2767</t>
  </si>
  <si>
    <t>RESUMEN</t>
  </si>
  <si>
    <t>OBSERVACIONES</t>
  </si>
  <si>
    <t>NO SE REGISTRA 1 PERSONA PORQUE TIENE EL PERFIL APROBADO</t>
  </si>
  <si>
    <t>YA TIENE EL PERFIL APROBADO</t>
  </si>
  <si>
    <t>CÉDULA</t>
  </si>
  <si>
    <t>CÓDIGO</t>
  </si>
  <si>
    <t>OK</t>
  </si>
  <si>
    <t>SE ENCUENTRAN CERTIFICADAS 53 PERSONAS EN CONSTRUCCIÓN</t>
  </si>
  <si>
    <t xml:space="preserve">SE DIERON DE BAJA 64 PERSONAS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</si>
</sst>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[$-F400]h:mm:ss\ AM/PM"/>
  </numFmts>
  <fonts count="22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name val="Calibri"/>
      <family val="2"/>
    </font>
    <font>
      <b/>
      <u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Aptos Narrow"/>
      <family val="2"/>
    </font>
    <font>
      <sz val="8"/>
      <color rgb="FF000000"/>
      <name val="Aptos Narrow"/>
      <family val="2"/>
    </font>
    <font>
      <b/>
      <sz val="8"/>
      <color theme="2"/>
      <name val="Calibri"/>
      <family val="2"/>
    </font>
    <font>
      <b/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2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49" fontId="1" fillId="0" borderId="0" xfId="0" applyNumberFormat="1" applyFont="1"/>
    <xf numFmtId="44" fontId="1" fillId="0" borderId="0" xfId="0" applyNumberFormat="1" applyFont="1"/>
    <xf numFmtId="0" fontId="4" fillId="0" borderId="0" xfId="0" applyFont="1" applyAlignment="1">
      <alignment horizontal="center" vertical="center"/>
    </xf>
    <xf numFmtId="164" fontId="1" fillId="0" borderId="0" xfId="0" applyNumberFormat="1" applyFont="1"/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0" fillId="0" borderId="0" xfId="0" applyAlignment="1">
      <alignment horizontal="center"/>
    </xf>
    <xf numFmtId="0" fontId="6" fillId="7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5" xfId="0" applyFont="1" applyBorder="1"/>
    <xf numFmtId="0" fontId="1" fillId="0" borderId="6" xfId="0" applyFont="1" applyBorder="1" applyAlignment="1">
      <alignment horizontal="center"/>
    </xf>
    <xf numFmtId="0" fontId="6" fillId="0" borderId="5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44" fontId="4" fillId="0" borderId="8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wrapText="1"/>
    </xf>
    <xf numFmtId="164" fontId="4" fillId="0" borderId="10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49" fontId="1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1" fillId="0" borderId="13" xfId="0" applyFont="1" applyBorder="1"/>
    <xf numFmtId="0" fontId="4" fillId="0" borderId="10" xfId="0" applyFont="1" applyBorder="1" applyAlignment="1">
      <alignment horizontal="center"/>
    </xf>
    <xf numFmtId="0" fontId="1" fillId="0" borderId="6" xfId="0" applyFont="1" applyBorder="1"/>
    <xf numFmtId="0" fontId="0" fillId="0" borderId="6" xfId="0" applyBorder="1"/>
    <xf numFmtId="0" fontId="6" fillId="0" borderId="6" xfId="0" applyFont="1" applyBorder="1"/>
    <xf numFmtId="164" fontId="6" fillId="0" borderId="0" xfId="0" applyNumberFormat="1" applyFont="1"/>
    <xf numFmtId="164" fontId="6" fillId="0" borderId="13" xfId="0" applyNumberFormat="1" applyFont="1" applyBorder="1"/>
    <xf numFmtId="0" fontId="1" fillId="0" borderId="13" xfId="0" applyFont="1" applyBorder="1" applyAlignment="1">
      <alignment horizontal="center"/>
    </xf>
    <xf numFmtId="0" fontId="1" fillId="0" borderId="0" xfId="0" quotePrefix="1" applyFont="1"/>
    <xf numFmtId="0" fontId="11" fillId="0" borderId="0" xfId="1"/>
    <xf numFmtId="0" fontId="5" fillId="0" borderId="14" xfId="0" applyFont="1" applyBorder="1"/>
    <xf numFmtId="0" fontId="6" fillId="0" borderId="15" xfId="0" applyFont="1" applyBorder="1"/>
    <xf numFmtId="49" fontId="6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5" xfId="0" applyFont="1" applyBorder="1" applyAlignment="1">
      <alignment horizontal="center"/>
    </xf>
    <xf numFmtId="0" fontId="1" fillId="0" borderId="15" xfId="0" quotePrefix="1" applyFont="1" applyBorder="1"/>
    <xf numFmtId="164" fontId="6" fillId="0" borderId="15" xfId="0" applyNumberFormat="1" applyFont="1" applyBorder="1"/>
    <xf numFmtId="0" fontId="1" fillId="0" borderId="5" xfId="0" applyFont="1" applyBorder="1"/>
    <xf numFmtId="0" fontId="4" fillId="0" borderId="18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20" fontId="1" fillId="0" borderId="0" xfId="0" applyNumberFormat="1" applyFont="1"/>
    <xf numFmtId="0" fontId="5" fillId="0" borderId="19" xfId="0" applyFont="1" applyBorder="1"/>
    <xf numFmtId="14" fontId="6" fillId="0" borderId="15" xfId="0" applyNumberFormat="1" applyFont="1" applyBorder="1"/>
    <xf numFmtId="14" fontId="1" fillId="0" borderId="15" xfId="0" applyNumberFormat="1" applyFont="1" applyBorder="1"/>
    <xf numFmtId="0" fontId="1" fillId="0" borderId="16" xfId="0" applyFont="1" applyBorder="1"/>
    <xf numFmtId="0" fontId="0" fillId="0" borderId="15" xfId="0" applyBorder="1"/>
    <xf numFmtId="0" fontId="0" fillId="0" borderId="16" xfId="0" applyBorder="1"/>
    <xf numFmtId="0" fontId="6" fillId="0" borderId="16" xfId="0" applyFont="1" applyBorder="1"/>
    <xf numFmtId="44" fontId="1" fillId="0" borderId="15" xfId="0" applyNumberFormat="1" applyFont="1" applyBorder="1"/>
    <xf numFmtId="14" fontId="4" fillId="0" borderId="18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4" fontId="4" fillId="0" borderId="20" xfId="0" applyNumberFormat="1" applyFont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 wrapText="1"/>
    </xf>
    <xf numFmtId="14" fontId="1" fillId="0" borderId="13" xfId="0" applyNumberFormat="1" applyFont="1" applyBorder="1"/>
    <xf numFmtId="0" fontId="1" fillId="0" borderId="13" xfId="0" quotePrefix="1" applyFont="1" applyBorder="1"/>
    <xf numFmtId="0" fontId="1" fillId="0" borderId="11" xfId="0" applyFont="1" applyBorder="1"/>
    <xf numFmtId="44" fontId="1" fillId="0" borderId="13" xfId="0" applyNumberFormat="1" applyFont="1" applyBorder="1"/>
    <xf numFmtId="0" fontId="0" fillId="0" borderId="5" xfId="0" applyBorder="1"/>
    <xf numFmtId="14" fontId="6" fillId="0" borderId="13" xfId="0" applyNumberFormat="1" applyFont="1" applyBorder="1"/>
    <xf numFmtId="0" fontId="0" fillId="0" borderId="13" xfId="0" applyBorder="1"/>
    <xf numFmtId="0" fontId="0" fillId="0" borderId="11" xfId="0" applyBorder="1"/>
    <xf numFmtId="0" fontId="6" fillId="0" borderId="11" xfId="0" applyFont="1" applyBorder="1"/>
    <xf numFmtId="0" fontId="7" fillId="0" borderId="5" xfId="0" applyFont="1" applyBorder="1"/>
    <xf numFmtId="0" fontId="7" fillId="0" borderId="0" xfId="0" applyFont="1"/>
    <xf numFmtId="0" fontId="8" fillId="0" borderId="6" xfId="0" applyFont="1" applyBorder="1"/>
    <xf numFmtId="0" fontId="6" fillId="0" borderId="0" xfId="0" quotePrefix="1" applyFont="1" applyAlignment="1">
      <alignment horizontal="center"/>
    </xf>
    <xf numFmtId="0" fontId="6" fillId="11" borderId="0" xfId="0" applyFont="1" applyFill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/>
    <xf numFmtId="0" fontId="6" fillId="0" borderId="6" xfId="0" applyFont="1" applyBorder="1" applyAlignment="1">
      <alignment horizontal="center"/>
    </xf>
    <xf numFmtId="0" fontId="4" fillId="6" borderId="0" xfId="0" applyFont="1" applyFill="1"/>
    <xf numFmtId="0" fontId="7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18" xfId="0" applyBorder="1"/>
    <xf numFmtId="0" fontId="5" fillId="0" borderId="12" xfId="0" applyFont="1" applyBorder="1"/>
    <xf numFmtId="49" fontId="6" fillId="0" borderId="13" xfId="0" applyNumberFormat="1" applyFont="1" applyBorder="1" applyAlignment="1">
      <alignment horizontal="center" vertical="center" wrapText="1"/>
    </xf>
    <xf numFmtId="0" fontId="1" fillId="0" borderId="12" xfId="0" applyFont="1" applyBorder="1"/>
    <xf numFmtId="164" fontId="1" fillId="0" borderId="13" xfId="0" applyNumberFormat="1" applyFont="1" applyBorder="1"/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4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6" fillId="0" borderId="22" xfId="0" applyFont="1" applyBorder="1" applyAlignment="1">
      <alignment vertical="center"/>
    </xf>
    <xf numFmtId="164" fontId="18" fillId="12" borderId="0" xfId="0" applyNumberFormat="1" applyFont="1" applyFill="1" applyAlignment="1">
      <alignment horizontal="center" vertical="center" wrapText="1"/>
    </xf>
    <xf numFmtId="0" fontId="18" fillId="12" borderId="18" xfId="0" applyFont="1" applyFill="1" applyBorder="1" applyAlignment="1">
      <alignment horizontal="center" vertical="center"/>
    </xf>
    <xf numFmtId="49" fontId="18" fillId="12" borderId="18" xfId="0" applyNumberFormat="1" applyFont="1" applyFill="1" applyBorder="1" applyAlignment="1">
      <alignment horizontal="center" vertical="center"/>
    </xf>
    <xf numFmtId="164" fontId="18" fillId="12" borderId="18" xfId="0" applyNumberFormat="1" applyFont="1" applyFill="1" applyBorder="1" applyAlignment="1">
      <alignment horizontal="center" vertical="center" wrapText="1"/>
    </xf>
    <xf numFmtId="0" fontId="1" fillId="0" borderId="18" xfId="0" applyFont="1" applyBorder="1"/>
    <xf numFmtId="49" fontId="6" fillId="0" borderId="18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49" fontId="1" fillId="0" borderId="18" xfId="0" applyNumberFormat="1" applyFont="1" applyBorder="1" applyAlignment="1">
      <alignment horizontal="center" vertical="center" wrapText="1"/>
    </xf>
    <xf numFmtId="0" fontId="5" fillId="0" borderId="18" xfId="0" applyFont="1" applyBorder="1"/>
    <xf numFmtId="0" fontId="1" fillId="0" borderId="18" xfId="0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23" xfId="0" applyFont="1" applyBorder="1"/>
    <xf numFmtId="49" fontId="6" fillId="0" borderId="23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1" fillId="12" borderId="18" xfId="0" applyFont="1" applyFill="1" applyBorder="1" applyAlignment="1">
      <alignment horizontal="center" vertical="center"/>
    </xf>
    <xf numFmtId="0" fontId="5" fillId="0" borderId="23" xfId="0" applyFont="1" applyBorder="1"/>
    <xf numFmtId="0" fontId="6" fillId="13" borderId="18" xfId="0" applyFont="1" applyFill="1" applyBorder="1" applyAlignment="1">
      <alignment horizontal="center"/>
    </xf>
    <xf numFmtId="0" fontId="5" fillId="13" borderId="18" xfId="0" applyFont="1" applyFill="1" applyBorder="1"/>
    <xf numFmtId="0" fontId="1" fillId="13" borderId="18" xfId="0" applyFont="1" applyFill="1" applyBorder="1"/>
    <xf numFmtId="49" fontId="6" fillId="13" borderId="18" xfId="0" applyNumberFormat="1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0" fillId="13" borderId="0" xfId="0" applyFill="1"/>
    <xf numFmtId="0" fontId="6" fillId="13" borderId="18" xfId="0" applyFont="1" applyFill="1" applyBorder="1" applyAlignment="1">
      <alignment horizontal="center" vertical="center" wrapText="1"/>
    </xf>
    <xf numFmtId="0" fontId="6" fillId="13" borderId="18" xfId="0" applyFont="1" applyFill="1" applyBorder="1"/>
    <xf numFmtId="0" fontId="6" fillId="13" borderId="17" xfId="0" applyFont="1" applyFill="1" applyBorder="1" applyAlignment="1">
      <alignment horizontal="center"/>
    </xf>
    <xf numFmtId="0" fontId="5" fillId="13" borderId="17" xfId="0" applyFont="1" applyFill="1" applyBorder="1"/>
    <xf numFmtId="0" fontId="6" fillId="13" borderId="17" xfId="0" applyFont="1" applyFill="1" applyBorder="1"/>
    <xf numFmtId="0" fontId="1" fillId="13" borderId="17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49" fontId="1" fillId="13" borderId="18" xfId="0" applyNumberFormat="1" applyFont="1" applyFill="1" applyBorder="1" applyAlignment="1">
      <alignment horizontal="center" vertical="center" wrapText="1"/>
    </xf>
    <xf numFmtId="49" fontId="1" fillId="13" borderId="18" xfId="0" applyNumberFormat="1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14" fillId="9" borderId="18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0" fillId="0" borderId="0" xfId="0"/>
    <xf numFmtId="0" fontId="3" fillId="0" borderId="1" xfId="0" applyFont="1" applyBorder="1"/>
    <xf numFmtId="0" fontId="4" fillId="6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18" xfId="0" applyFont="1" applyFill="1" applyBorder="1" applyAlignment="1">
      <alignment horizontal="center"/>
    </xf>
    <xf numFmtId="0" fontId="3" fillId="0" borderId="18" xfId="0" applyFont="1" applyBorder="1"/>
    <xf numFmtId="0" fontId="2" fillId="3" borderId="0" xfId="0" applyFont="1" applyFill="1" applyAlignment="1">
      <alignment horizontal="center"/>
    </xf>
    <xf numFmtId="0" fontId="3" fillId="0" borderId="0" xfId="0" applyFont="1"/>
    <xf numFmtId="0" fontId="2" fillId="4" borderId="0" xfId="0" applyFont="1" applyFill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8" xfId="0" applyBorder="1"/>
    <xf numFmtId="0" fontId="9" fillId="8" borderId="0" xfId="0" applyFont="1" applyFill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1224-D2D5-4B96-97C6-9CCA841735D7}">
  <dimension ref="A1:BV122"/>
  <sheetViews>
    <sheetView zoomScale="175" zoomScaleNormal="175" workbookViewId="0">
      <pane xSplit="5" ySplit="3" topLeftCell="BG108" activePane="bottomRight" state="frozen"/>
      <selection pane="topRight" activeCell="E1" sqref="E1"/>
      <selection pane="bottomLeft" activeCell="A3" sqref="A3"/>
      <selection pane="bottomRight" activeCell="D4" sqref="D4:E120"/>
    </sheetView>
  </sheetViews>
  <sheetFormatPr baseColWidth="10" defaultRowHeight="14.5" x14ac:dyDescent="0.35"/>
  <cols>
    <col min="1" max="1" width="4.453125" customWidth="1"/>
    <col min="2" max="2" width="13.7265625" customWidth="1"/>
    <col min="4" max="4" width="34.1796875" customWidth="1"/>
    <col min="5" max="5" width="14.453125" customWidth="1"/>
    <col min="8" max="8" width="6.7265625" customWidth="1"/>
    <col min="10" max="10" width="25" customWidth="1"/>
    <col min="14" max="14" width="37" style="12" customWidth="1"/>
    <col min="17" max="17" width="56.1796875" customWidth="1"/>
    <col min="18" max="18" width="43.26953125" customWidth="1"/>
    <col min="22" max="22" width="18.26953125" customWidth="1"/>
    <col min="23" max="27" width="0" hidden="1" customWidth="1"/>
    <col min="28" max="28" width="50.453125" customWidth="1"/>
    <col min="29" max="29" width="14.81640625" customWidth="1"/>
    <col min="30" max="30" width="29.453125" customWidth="1"/>
    <col min="31" max="31" width="7.7265625" customWidth="1"/>
    <col min="32" max="32" width="50.7265625" customWidth="1"/>
    <col min="33" max="35" width="14.26953125" customWidth="1"/>
    <col min="36" max="36" width="45.81640625" customWidth="1"/>
    <col min="39" max="39" width="44.453125" customWidth="1"/>
    <col min="40" max="40" width="42.1796875" customWidth="1"/>
    <col min="43" max="43" width="64" customWidth="1"/>
    <col min="44" max="44" width="40" customWidth="1"/>
    <col min="47" max="47" width="78.1796875" customWidth="1"/>
    <col min="55" max="55" width="16.453125" customWidth="1"/>
    <col min="56" max="56" width="42.1796875" customWidth="1"/>
    <col min="57" max="57" width="12.453125" customWidth="1"/>
    <col min="62" max="62" width="35" customWidth="1"/>
  </cols>
  <sheetData>
    <row r="1" spans="1:74" x14ac:dyDescent="0.35">
      <c r="A1" s="2" t="s">
        <v>397</v>
      </c>
      <c r="B1" s="2"/>
      <c r="E1" s="47"/>
    </row>
    <row r="2" spans="1:74" x14ac:dyDescent="0.35">
      <c r="A2" s="1" t="s">
        <v>0</v>
      </c>
      <c r="B2" s="1"/>
      <c r="C2" s="2"/>
      <c r="D2" s="2" t="s">
        <v>638</v>
      </c>
      <c r="E2" s="3"/>
      <c r="F2" s="4"/>
      <c r="G2" s="5" t="s">
        <v>1</v>
      </c>
      <c r="H2" s="4"/>
      <c r="I2" s="1"/>
      <c r="J2" s="1"/>
      <c r="K2" s="1"/>
      <c r="L2" s="1"/>
      <c r="M2" s="1"/>
      <c r="N2" s="2"/>
      <c r="O2" s="6"/>
      <c r="P2" s="6"/>
      <c r="Q2" s="164" t="s">
        <v>2</v>
      </c>
      <c r="R2" s="164"/>
      <c r="S2" s="165"/>
      <c r="T2" s="165"/>
      <c r="U2" s="165"/>
      <c r="V2" s="165"/>
      <c r="W2" s="166" t="s">
        <v>3</v>
      </c>
      <c r="X2" s="167"/>
      <c r="Y2" s="167"/>
      <c r="Z2" s="167"/>
      <c r="AA2" s="167"/>
      <c r="AB2" s="172" t="s">
        <v>501</v>
      </c>
      <c r="AC2" s="172"/>
      <c r="AD2" s="172"/>
      <c r="AE2" s="172"/>
      <c r="AF2" s="173" t="s">
        <v>756</v>
      </c>
      <c r="AG2" s="173"/>
      <c r="AH2" s="173"/>
      <c r="AI2" s="173"/>
      <c r="AJ2" s="168" t="s">
        <v>4</v>
      </c>
      <c r="AK2" s="167"/>
      <c r="AL2" s="167"/>
      <c r="AM2" s="167"/>
      <c r="AN2" s="169" t="s">
        <v>5</v>
      </c>
      <c r="AO2" s="165"/>
      <c r="AP2" s="165"/>
      <c r="AQ2" s="165"/>
      <c r="AR2" s="170" t="s">
        <v>6</v>
      </c>
      <c r="AS2" s="171"/>
      <c r="AT2" s="171"/>
      <c r="AU2" s="171"/>
      <c r="AV2" s="7"/>
      <c r="AW2" s="158"/>
      <c r="AX2" s="159"/>
      <c r="AY2" s="159"/>
      <c r="AZ2" s="160"/>
      <c r="BA2" s="161" t="s">
        <v>7</v>
      </c>
      <c r="BB2" s="162"/>
      <c r="BC2" s="162"/>
      <c r="BD2" s="162"/>
      <c r="BE2" s="163"/>
      <c r="BF2" s="4"/>
      <c r="BG2" s="4"/>
      <c r="BH2" s="4"/>
      <c r="BI2" s="4"/>
    </row>
    <row r="3" spans="1:74" ht="31.5" x14ac:dyDescent="0.35">
      <c r="A3" s="8" t="s">
        <v>631</v>
      </c>
      <c r="B3" s="8"/>
      <c r="C3" s="57" t="s">
        <v>8</v>
      </c>
      <c r="D3" s="57" t="s">
        <v>9</v>
      </c>
      <c r="E3" s="69" t="s">
        <v>10</v>
      </c>
      <c r="F3" s="69" t="s">
        <v>11</v>
      </c>
      <c r="G3" s="68" t="s">
        <v>12</v>
      </c>
      <c r="H3" s="57" t="s">
        <v>13</v>
      </c>
      <c r="I3" s="70" t="s">
        <v>14</v>
      </c>
      <c r="J3" s="70" t="s">
        <v>15</v>
      </c>
      <c r="K3" s="70" t="s">
        <v>16</v>
      </c>
      <c r="L3" s="70" t="s">
        <v>17</v>
      </c>
      <c r="M3" s="70" t="s">
        <v>18</v>
      </c>
      <c r="N3" s="69" t="s">
        <v>19</v>
      </c>
      <c r="O3" s="69" t="s">
        <v>20</v>
      </c>
      <c r="P3" s="69" t="s">
        <v>21</v>
      </c>
      <c r="Q3" s="68" t="s">
        <v>22</v>
      </c>
      <c r="R3" s="68" t="s">
        <v>500</v>
      </c>
      <c r="S3" s="68" t="s">
        <v>23</v>
      </c>
      <c r="T3" s="68" t="s">
        <v>24</v>
      </c>
      <c r="U3" s="57" t="s">
        <v>25</v>
      </c>
      <c r="V3" s="57" t="s">
        <v>26</v>
      </c>
      <c r="W3" s="25" t="s">
        <v>22</v>
      </c>
      <c r="X3" s="25" t="s">
        <v>23</v>
      </c>
      <c r="Y3" s="25" t="s">
        <v>24</v>
      </c>
      <c r="Z3" s="23" t="s">
        <v>25</v>
      </c>
      <c r="AA3" s="23" t="s">
        <v>26</v>
      </c>
      <c r="AB3" s="57" t="s">
        <v>502</v>
      </c>
      <c r="AC3" s="57" t="s">
        <v>503</v>
      </c>
      <c r="AD3" s="57" t="s">
        <v>504</v>
      </c>
      <c r="AE3" s="57" t="s">
        <v>505</v>
      </c>
      <c r="AF3" s="57" t="s">
        <v>625</v>
      </c>
      <c r="AG3" s="57" t="s">
        <v>28</v>
      </c>
      <c r="AH3" s="57" t="s">
        <v>29</v>
      </c>
      <c r="AI3" s="57" t="s">
        <v>30</v>
      </c>
      <c r="AJ3" s="57" t="s">
        <v>27</v>
      </c>
      <c r="AK3" s="57" t="s">
        <v>28</v>
      </c>
      <c r="AL3" s="57" t="s">
        <v>29</v>
      </c>
      <c r="AM3" s="22" t="s">
        <v>30</v>
      </c>
      <c r="AN3" s="57" t="s">
        <v>27</v>
      </c>
      <c r="AO3" s="57" t="s">
        <v>28</v>
      </c>
      <c r="AP3" s="57" t="s">
        <v>29</v>
      </c>
      <c r="AQ3" s="57" t="s">
        <v>30</v>
      </c>
      <c r="AR3" s="57" t="s">
        <v>27</v>
      </c>
      <c r="AS3" s="57" t="s">
        <v>28</v>
      </c>
      <c r="AT3" s="57" t="s">
        <v>29</v>
      </c>
      <c r="AU3" s="57" t="s">
        <v>30</v>
      </c>
      <c r="AV3" s="72" t="s">
        <v>31</v>
      </c>
      <c r="AW3" s="73" t="s">
        <v>32</v>
      </c>
      <c r="AX3" s="73" t="s">
        <v>33</v>
      </c>
      <c r="AY3" s="73" t="s">
        <v>34</v>
      </c>
      <c r="AZ3" s="73" t="s">
        <v>35</v>
      </c>
      <c r="BA3" s="71" t="s">
        <v>36</v>
      </c>
      <c r="BB3" s="29" t="s">
        <v>37</v>
      </c>
      <c r="BC3" s="29" t="s">
        <v>29</v>
      </c>
      <c r="BD3" s="29" t="s">
        <v>18</v>
      </c>
      <c r="BE3" s="30" t="s">
        <v>38</v>
      </c>
      <c r="BF3" s="23" t="s">
        <v>10</v>
      </c>
      <c r="BG3" s="25" t="s">
        <v>39</v>
      </c>
      <c r="BH3" s="31" t="s">
        <v>40</v>
      </c>
      <c r="BI3" s="32" t="s">
        <v>41</v>
      </c>
    </row>
    <row r="4" spans="1:74" x14ac:dyDescent="0.35">
      <c r="A4" s="4"/>
      <c r="B4" s="131" t="s">
        <v>864</v>
      </c>
      <c r="C4" s="19" t="s">
        <v>42</v>
      </c>
      <c r="D4" s="2" t="s">
        <v>43</v>
      </c>
      <c r="E4" s="10" t="s">
        <v>628</v>
      </c>
      <c r="F4" s="4" t="s">
        <v>639</v>
      </c>
      <c r="G4" s="5">
        <v>33105</v>
      </c>
      <c r="H4" s="4">
        <f>2026-1990</f>
        <v>36</v>
      </c>
      <c r="I4" s="2" t="s">
        <v>399</v>
      </c>
      <c r="J4" s="2" t="s">
        <v>44</v>
      </c>
      <c r="K4" s="2" t="s">
        <v>45</v>
      </c>
      <c r="L4" s="2" t="s">
        <v>46</v>
      </c>
      <c r="M4" s="2" t="s">
        <v>46</v>
      </c>
      <c r="N4" s="2" t="s">
        <v>509</v>
      </c>
      <c r="O4" s="2" t="s">
        <v>47</v>
      </c>
      <c r="P4" s="46" t="s">
        <v>633</v>
      </c>
      <c r="Q4" s="2" t="s">
        <v>638</v>
      </c>
      <c r="R4" s="2" t="s">
        <v>397</v>
      </c>
      <c r="S4" s="5">
        <v>45894</v>
      </c>
      <c r="T4" s="5">
        <v>46259</v>
      </c>
      <c r="U4" s="2">
        <v>12</v>
      </c>
      <c r="V4" s="40" t="s">
        <v>630</v>
      </c>
      <c r="W4" s="2"/>
      <c r="X4" s="2"/>
      <c r="Y4" s="2"/>
      <c r="Z4" s="2"/>
      <c r="AA4" s="40"/>
      <c r="AB4" s="2"/>
      <c r="AC4" s="2" t="s">
        <v>805</v>
      </c>
      <c r="AD4" s="2" t="s">
        <v>507</v>
      </c>
      <c r="AE4" s="4">
        <v>40</v>
      </c>
      <c r="AF4" s="2"/>
      <c r="AG4" s="2"/>
      <c r="AH4" s="2"/>
      <c r="AI4" s="2"/>
      <c r="AJ4" s="56" t="s">
        <v>48</v>
      </c>
      <c r="AK4" s="2" t="s">
        <v>49</v>
      </c>
      <c r="AL4" s="2" t="s">
        <v>46</v>
      </c>
      <c r="AM4" s="40" t="s">
        <v>50</v>
      </c>
      <c r="AN4" s="2"/>
      <c r="AO4" s="2"/>
      <c r="AP4" s="2"/>
      <c r="AQ4" s="40"/>
      <c r="AR4" s="2"/>
      <c r="AS4" s="2"/>
      <c r="AT4" s="2"/>
      <c r="AU4" s="40"/>
      <c r="AV4" s="7">
        <v>48.4</v>
      </c>
      <c r="AW4" s="5">
        <v>46265</v>
      </c>
      <c r="AX4" s="5">
        <v>46265</v>
      </c>
      <c r="AY4" s="5">
        <v>46265</v>
      </c>
      <c r="AZ4" s="2"/>
      <c r="BA4" s="2" t="s">
        <v>51</v>
      </c>
      <c r="BB4" s="2" t="s">
        <v>52</v>
      </c>
      <c r="BC4" s="2" t="s">
        <v>398</v>
      </c>
      <c r="BD4" s="2" t="s">
        <v>397</v>
      </c>
      <c r="BE4" s="9">
        <v>0.5</v>
      </c>
      <c r="BF4" s="4" t="str">
        <f t="shared" ref="BF4:BF34" si="0">E4</f>
        <v>1400609218</v>
      </c>
      <c r="BG4" s="4" t="str">
        <f t="shared" ref="BG4:BG34" si="1">F4</f>
        <v>EXCCL-4885514</v>
      </c>
      <c r="BH4" s="4"/>
      <c r="BI4" s="20"/>
      <c r="BJ4" s="153" t="s">
        <v>725</v>
      </c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</row>
    <row r="5" spans="1:74" x14ac:dyDescent="0.35">
      <c r="A5" s="4"/>
      <c r="B5" s="131" t="s">
        <v>865</v>
      </c>
      <c r="C5" s="19" t="s">
        <v>53</v>
      </c>
      <c r="D5" s="2" t="s">
        <v>54</v>
      </c>
      <c r="E5" s="10">
        <v>1400922082</v>
      </c>
      <c r="F5" s="4" t="s">
        <v>640</v>
      </c>
      <c r="G5" s="5">
        <v>36382</v>
      </c>
      <c r="H5" s="4">
        <f>2026-1999</f>
        <v>27</v>
      </c>
      <c r="I5" s="2" t="s">
        <v>399</v>
      </c>
      <c r="J5" s="2" t="s">
        <v>44</v>
      </c>
      <c r="K5" s="2" t="s">
        <v>45</v>
      </c>
      <c r="L5" s="2" t="s">
        <v>46</v>
      </c>
      <c r="M5" s="2" t="s">
        <v>46</v>
      </c>
      <c r="N5" s="2" t="s">
        <v>510</v>
      </c>
      <c r="O5" s="2" t="s">
        <v>47</v>
      </c>
      <c r="P5" s="46" t="s">
        <v>634</v>
      </c>
      <c r="Q5" s="2" t="s">
        <v>638</v>
      </c>
      <c r="R5" s="2" t="s">
        <v>397</v>
      </c>
      <c r="S5" s="5">
        <v>45894</v>
      </c>
      <c r="T5" s="5">
        <v>46259</v>
      </c>
      <c r="U5" s="2">
        <v>12</v>
      </c>
      <c r="V5" s="40" t="s">
        <v>630</v>
      </c>
      <c r="W5" s="2"/>
      <c r="X5" s="2"/>
      <c r="Y5" s="2"/>
      <c r="Z5" s="2"/>
      <c r="AA5" s="40"/>
      <c r="AB5" s="2"/>
      <c r="AC5" s="2" t="s">
        <v>805</v>
      </c>
      <c r="AD5" s="2" t="s">
        <v>507</v>
      </c>
      <c r="AE5" s="4">
        <v>40</v>
      </c>
      <c r="AF5" s="2"/>
      <c r="AG5" s="2"/>
      <c r="AH5" s="2"/>
      <c r="AI5" s="2"/>
      <c r="AJ5" s="56" t="s">
        <v>55</v>
      </c>
      <c r="AK5" s="2" t="s">
        <v>49</v>
      </c>
      <c r="AL5" s="2" t="s">
        <v>401</v>
      </c>
      <c r="AM5" s="40" t="s">
        <v>56</v>
      </c>
      <c r="AN5" s="2"/>
      <c r="AO5" s="2"/>
      <c r="AP5" s="2"/>
      <c r="AQ5" s="40"/>
      <c r="AR5" s="2"/>
      <c r="AS5" s="2"/>
      <c r="AT5" s="2"/>
      <c r="AU5" s="40"/>
      <c r="AV5" s="7">
        <v>48.4</v>
      </c>
      <c r="AW5" s="5">
        <v>46265</v>
      </c>
      <c r="AX5" s="5">
        <v>46265</v>
      </c>
      <c r="AY5" s="5">
        <v>46265</v>
      </c>
      <c r="AZ5" s="2"/>
      <c r="BA5" s="2" t="s">
        <v>51</v>
      </c>
      <c r="BB5" s="2" t="s">
        <v>52</v>
      </c>
      <c r="BC5" s="2" t="s">
        <v>398</v>
      </c>
      <c r="BD5" s="2" t="s">
        <v>397</v>
      </c>
      <c r="BE5" s="9">
        <v>0.5</v>
      </c>
      <c r="BF5" s="4">
        <f t="shared" si="0"/>
        <v>1400922082</v>
      </c>
      <c r="BG5" s="4" t="str">
        <f t="shared" si="1"/>
        <v>EXCCL-9683241</v>
      </c>
      <c r="BH5" s="4"/>
      <c r="BI5" s="20"/>
      <c r="BJ5" s="154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 spans="1:74" x14ac:dyDescent="0.35">
      <c r="A6" s="4" t="s">
        <v>57</v>
      </c>
      <c r="B6" s="131" t="s">
        <v>866</v>
      </c>
      <c r="C6" s="19" t="s">
        <v>58</v>
      </c>
      <c r="D6" s="2" t="s">
        <v>59</v>
      </c>
      <c r="E6" s="10" t="s">
        <v>60</v>
      </c>
      <c r="F6" s="4" t="s">
        <v>641</v>
      </c>
      <c r="G6" s="5">
        <v>26678</v>
      </c>
      <c r="H6" s="4">
        <f>2026-1973</f>
        <v>53</v>
      </c>
      <c r="I6" s="2" t="s">
        <v>399</v>
      </c>
      <c r="J6" s="2" t="s">
        <v>44</v>
      </c>
      <c r="K6" s="2" t="s">
        <v>45</v>
      </c>
      <c r="L6" s="2" t="s">
        <v>46</v>
      </c>
      <c r="M6" s="2" t="s">
        <v>46</v>
      </c>
      <c r="N6" s="2" t="s">
        <v>511</v>
      </c>
      <c r="O6" s="2" t="s">
        <v>47</v>
      </c>
      <c r="P6" s="46" t="s">
        <v>635</v>
      </c>
      <c r="Q6" s="2" t="s">
        <v>638</v>
      </c>
      <c r="R6" s="2" t="s">
        <v>397</v>
      </c>
      <c r="S6" s="5">
        <v>45894</v>
      </c>
      <c r="T6" s="5">
        <v>46259</v>
      </c>
      <c r="U6" s="2">
        <v>12</v>
      </c>
      <c r="V6" s="40" t="s">
        <v>629</v>
      </c>
      <c r="W6" s="2"/>
      <c r="X6" s="2"/>
      <c r="Y6" s="2"/>
      <c r="Z6" s="2"/>
      <c r="AA6" s="40"/>
      <c r="AB6" s="2"/>
      <c r="AC6" s="2" t="s">
        <v>805</v>
      </c>
      <c r="AD6" s="2" t="s">
        <v>507</v>
      </c>
      <c r="AE6" s="4">
        <v>40</v>
      </c>
      <c r="AF6" s="2" t="s">
        <v>626</v>
      </c>
      <c r="AG6" s="2" t="s">
        <v>49</v>
      </c>
      <c r="AH6" s="2" t="s">
        <v>627</v>
      </c>
      <c r="AI6" s="2"/>
      <c r="AJ6" s="56"/>
      <c r="AK6" s="2"/>
      <c r="AL6" s="2"/>
      <c r="AM6" s="40"/>
      <c r="AN6" s="2"/>
      <c r="AO6" s="2"/>
      <c r="AP6" s="2"/>
      <c r="AQ6" s="40"/>
      <c r="AR6" s="2"/>
      <c r="AS6" s="2"/>
      <c r="AT6" s="2"/>
      <c r="AU6" s="40"/>
      <c r="AV6" s="7">
        <v>48.4</v>
      </c>
      <c r="AW6" s="5">
        <v>46265</v>
      </c>
      <c r="AX6" s="5">
        <v>46265</v>
      </c>
      <c r="AY6" s="5">
        <v>46265</v>
      </c>
      <c r="AZ6" s="2"/>
      <c r="BA6" s="2" t="s">
        <v>51</v>
      </c>
      <c r="BB6" s="2" t="s">
        <v>52</v>
      </c>
      <c r="BC6" s="2" t="s">
        <v>398</v>
      </c>
      <c r="BD6" s="2" t="s">
        <v>397</v>
      </c>
      <c r="BE6" s="9">
        <v>0.5</v>
      </c>
      <c r="BF6" s="4" t="str">
        <f t="shared" si="0"/>
        <v>0201275336</v>
      </c>
      <c r="BG6" s="4" t="str">
        <f t="shared" si="1"/>
        <v>EXCCL-4387297</v>
      </c>
      <c r="BH6" s="4"/>
      <c r="BI6" s="20"/>
      <c r="BJ6" s="154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</row>
    <row r="7" spans="1:74" x14ac:dyDescent="0.35">
      <c r="A7" s="4" t="s">
        <v>57</v>
      </c>
      <c r="B7" s="131" t="s">
        <v>867</v>
      </c>
      <c r="C7" s="19" t="s">
        <v>62</v>
      </c>
      <c r="D7" s="2" t="s">
        <v>63</v>
      </c>
      <c r="E7" s="10" t="s">
        <v>64</v>
      </c>
      <c r="F7" s="4" t="s">
        <v>642</v>
      </c>
      <c r="G7" s="5">
        <v>21591</v>
      </c>
      <c r="H7" s="4">
        <f>2026-1959</f>
        <v>67</v>
      </c>
      <c r="I7" s="2" t="s">
        <v>399</v>
      </c>
      <c r="J7" s="2" t="s">
        <v>44</v>
      </c>
      <c r="K7" s="2" t="s">
        <v>45</v>
      </c>
      <c r="L7" s="2" t="s">
        <v>46</v>
      </c>
      <c r="M7" s="2" t="s">
        <v>46</v>
      </c>
      <c r="N7" s="2" t="s">
        <v>512</v>
      </c>
      <c r="O7" s="2" t="s">
        <v>47</v>
      </c>
      <c r="P7" s="46" t="s">
        <v>636</v>
      </c>
      <c r="Q7" s="2" t="s">
        <v>638</v>
      </c>
      <c r="R7" s="2" t="s">
        <v>397</v>
      </c>
      <c r="S7" s="5">
        <v>45894</v>
      </c>
      <c r="T7" s="5">
        <v>46259</v>
      </c>
      <c r="U7" s="2">
        <v>12</v>
      </c>
      <c r="V7" s="40" t="s">
        <v>629</v>
      </c>
      <c r="W7" s="2"/>
      <c r="X7" s="2"/>
      <c r="Y7" s="2"/>
      <c r="Z7" s="2"/>
      <c r="AA7" s="40"/>
      <c r="AB7" s="2"/>
      <c r="AC7" s="2" t="s">
        <v>805</v>
      </c>
      <c r="AD7" s="2" t="s">
        <v>507</v>
      </c>
      <c r="AE7" s="4">
        <v>40</v>
      </c>
      <c r="AF7" s="2" t="s">
        <v>626</v>
      </c>
      <c r="AG7" s="2" t="s">
        <v>49</v>
      </c>
      <c r="AH7" s="2" t="s">
        <v>627</v>
      </c>
      <c r="AI7" s="2"/>
      <c r="AJ7" s="56"/>
      <c r="AK7" s="2"/>
      <c r="AL7" s="2"/>
      <c r="AM7" s="40"/>
      <c r="AN7" s="2"/>
      <c r="AO7" s="2"/>
      <c r="AP7" s="2"/>
      <c r="AQ7" s="40"/>
      <c r="AR7" s="2"/>
      <c r="AS7" s="2"/>
      <c r="AT7" s="2"/>
      <c r="AU7" s="40"/>
      <c r="AV7" s="7">
        <v>48.4</v>
      </c>
      <c r="AW7" s="5">
        <v>46265</v>
      </c>
      <c r="AX7" s="5">
        <v>46265</v>
      </c>
      <c r="AY7" s="5">
        <v>46265</v>
      </c>
      <c r="AZ7" s="2"/>
      <c r="BA7" s="2" t="s">
        <v>51</v>
      </c>
      <c r="BB7" s="2" t="s">
        <v>52</v>
      </c>
      <c r="BC7" s="2" t="s">
        <v>398</v>
      </c>
      <c r="BD7" s="2" t="s">
        <v>397</v>
      </c>
      <c r="BE7" s="9">
        <v>0.5</v>
      </c>
      <c r="BF7" s="4" t="str">
        <f t="shared" si="0"/>
        <v>0300656485</v>
      </c>
      <c r="BG7" s="4" t="str">
        <f t="shared" si="1"/>
        <v>EXCCL-7925052</v>
      </c>
      <c r="BH7" s="4"/>
      <c r="BI7" s="20"/>
      <c r="BJ7" s="154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spans="1:74" x14ac:dyDescent="0.35">
      <c r="A8" s="4" t="s">
        <v>57</v>
      </c>
      <c r="B8" s="131" t="s">
        <v>868</v>
      </c>
      <c r="C8" s="19" t="s">
        <v>65</v>
      </c>
      <c r="D8" s="2" t="s">
        <v>66</v>
      </c>
      <c r="E8" s="10">
        <v>1600435190</v>
      </c>
      <c r="F8" s="4" t="s">
        <v>643</v>
      </c>
      <c r="G8" s="5">
        <v>29230</v>
      </c>
      <c r="H8" s="4">
        <f>2026-1980</f>
        <v>46</v>
      </c>
      <c r="I8" s="2" t="s">
        <v>399</v>
      </c>
      <c r="J8" s="2" t="s">
        <v>44</v>
      </c>
      <c r="K8" s="2" t="s">
        <v>45</v>
      </c>
      <c r="L8" s="2" t="s">
        <v>46</v>
      </c>
      <c r="M8" s="2" t="s">
        <v>46</v>
      </c>
      <c r="N8" s="2" t="s">
        <v>513</v>
      </c>
      <c r="O8" s="2" t="s">
        <v>47</v>
      </c>
      <c r="P8" s="46" t="s">
        <v>637</v>
      </c>
      <c r="Q8" s="2" t="s">
        <v>638</v>
      </c>
      <c r="R8" s="2" t="s">
        <v>397</v>
      </c>
      <c r="S8" s="5">
        <v>45894</v>
      </c>
      <c r="T8" s="5">
        <v>46259</v>
      </c>
      <c r="U8" s="2">
        <v>12</v>
      </c>
      <c r="V8" s="40" t="s">
        <v>629</v>
      </c>
      <c r="W8" s="2"/>
      <c r="X8" s="2"/>
      <c r="Y8" s="2"/>
      <c r="Z8" s="2"/>
      <c r="AA8" s="40"/>
      <c r="AB8" s="2"/>
      <c r="AC8" s="2" t="s">
        <v>805</v>
      </c>
      <c r="AD8" s="2" t="s">
        <v>507</v>
      </c>
      <c r="AE8" s="4">
        <v>40</v>
      </c>
      <c r="AF8" s="2" t="s">
        <v>626</v>
      </c>
      <c r="AG8" s="2" t="s">
        <v>49</v>
      </c>
      <c r="AH8" s="2" t="s">
        <v>627</v>
      </c>
      <c r="AI8" s="2"/>
      <c r="AJ8" s="56"/>
      <c r="AK8" s="2"/>
      <c r="AL8" s="2"/>
      <c r="AM8" s="40"/>
      <c r="AN8" s="2"/>
      <c r="AO8" s="2"/>
      <c r="AP8" s="2"/>
      <c r="AQ8" s="40"/>
      <c r="AR8" s="2"/>
      <c r="AS8" s="2"/>
      <c r="AT8" s="2"/>
      <c r="AU8" s="40"/>
      <c r="AV8" s="7">
        <v>48.4</v>
      </c>
      <c r="AW8" s="5">
        <v>46265</v>
      </c>
      <c r="AX8" s="5">
        <v>46265</v>
      </c>
      <c r="AY8" s="5">
        <v>46265</v>
      </c>
      <c r="AZ8" s="2"/>
      <c r="BA8" s="2" t="s">
        <v>51</v>
      </c>
      <c r="BB8" s="2" t="s">
        <v>52</v>
      </c>
      <c r="BC8" s="2" t="s">
        <v>398</v>
      </c>
      <c r="BD8" s="2" t="s">
        <v>397</v>
      </c>
      <c r="BE8" s="9">
        <v>0.5</v>
      </c>
      <c r="BF8" s="4">
        <f t="shared" si="0"/>
        <v>1600435190</v>
      </c>
      <c r="BG8" s="4" t="str">
        <f t="shared" si="1"/>
        <v>EXCCL-4460622</v>
      </c>
      <c r="BH8" s="4"/>
      <c r="BI8" s="20"/>
      <c r="BJ8" s="154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spans="1:74" x14ac:dyDescent="0.35">
      <c r="A9" s="4" t="s">
        <v>57</v>
      </c>
      <c r="B9" s="131" t="s">
        <v>869</v>
      </c>
      <c r="C9" s="19" t="s">
        <v>67</v>
      </c>
      <c r="D9" s="2" t="s">
        <v>68</v>
      </c>
      <c r="E9" s="10" t="s">
        <v>69</v>
      </c>
      <c r="F9" s="4" t="s">
        <v>650</v>
      </c>
      <c r="G9" s="5">
        <v>31775</v>
      </c>
      <c r="H9" s="4">
        <f>2026-1986</f>
        <v>40</v>
      </c>
      <c r="I9" s="2" t="s">
        <v>399</v>
      </c>
      <c r="J9" s="2" t="s">
        <v>44</v>
      </c>
      <c r="K9" s="2" t="s">
        <v>45</v>
      </c>
      <c r="L9" s="2" t="s">
        <v>46</v>
      </c>
      <c r="M9" s="2" t="s">
        <v>46</v>
      </c>
      <c r="N9" s="2" t="s">
        <v>514</v>
      </c>
      <c r="O9" s="2" t="s">
        <v>47</v>
      </c>
      <c r="P9" s="46" t="s">
        <v>644</v>
      </c>
      <c r="Q9" s="2" t="s">
        <v>638</v>
      </c>
      <c r="R9" s="2" t="s">
        <v>397</v>
      </c>
      <c r="S9" s="5">
        <v>45894</v>
      </c>
      <c r="T9" s="5">
        <v>46259</v>
      </c>
      <c r="U9" s="2">
        <v>12</v>
      </c>
      <c r="V9" s="40" t="s">
        <v>629</v>
      </c>
      <c r="W9" s="2"/>
      <c r="X9" s="2"/>
      <c r="Y9" s="2"/>
      <c r="Z9" s="2"/>
      <c r="AA9" s="40"/>
      <c r="AB9" s="2"/>
      <c r="AC9" s="2" t="s">
        <v>805</v>
      </c>
      <c r="AD9" s="2" t="s">
        <v>507</v>
      </c>
      <c r="AE9" s="4">
        <v>40</v>
      </c>
      <c r="AF9" s="2" t="s">
        <v>626</v>
      </c>
      <c r="AG9" s="2" t="s">
        <v>49</v>
      </c>
      <c r="AH9" s="2" t="s">
        <v>627</v>
      </c>
      <c r="AI9" s="2"/>
      <c r="AJ9" s="56"/>
      <c r="AK9" s="2"/>
      <c r="AL9" s="2"/>
      <c r="AM9" s="40"/>
      <c r="AN9" s="2"/>
      <c r="AO9" s="2"/>
      <c r="AP9" s="2"/>
      <c r="AQ9" s="40"/>
      <c r="AR9" s="2"/>
      <c r="AS9" s="2"/>
      <c r="AT9" s="2"/>
      <c r="AU9" s="40"/>
      <c r="AV9" s="7">
        <v>48.4</v>
      </c>
      <c r="AW9" s="5">
        <v>46265</v>
      </c>
      <c r="AX9" s="5">
        <v>46265</v>
      </c>
      <c r="AY9" s="5">
        <v>46265</v>
      </c>
      <c r="AZ9" s="2"/>
      <c r="BA9" s="2" t="s">
        <v>51</v>
      </c>
      <c r="BB9" s="2" t="s">
        <v>52</v>
      </c>
      <c r="BC9" s="2" t="s">
        <v>398</v>
      </c>
      <c r="BD9" s="2" t="s">
        <v>397</v>
      </c>
      <c r="BE9" s="9">
        <v>0.5</v>
      </c>
      <c r="BF9" s="4" t="str">
        <f t="shared" si="0"/>
        <v>1400560239</v>
      </c>
      <c r="BG9" s="4" t="str">
        <f t="shared" si="1"/>
        <v>EXCCL-8584508</v>
      </c>
      <c r="BH9" s="4"/>
      <c r="BI9" s="20"/>
      <c r="BJ9" s="154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 spans="1:74" x14ac:dyDescent="0.35">
      <c r="A10" s="4" t="s">
        <v>57</v>
      </c>
      <c r="B10" s="131" t="s">
        <v>870</v>
      </c>
      <c r="C10" s="19" t="s">
        <v>70</v>
      </c>
      <c r="D10" s="2" t="s">
        <v>71</v>
      </c>
      <c r="E10" s="10">
        <v>1600175788</v>
      </c>
      <c r="F10" s="4" t="s">
        <v>651</v>
      </c>
      <c r="G10" s="5">
        <v>23668</v>
      </c>
      <c r="H10" s="4">
        <f>2026-1964</f>
        <v>62</v>
      </c>
      <c r="I10" s="2" t="s">
        <v>399</v>
      </c>
      <c r="J10" s="2" t="s">
        <v>44</v>
      </c>
      <c r="K10" s="2" t="s">
        <v>45</v>
      </c>
      <c r="L10" s="2" t="s">
        <v>46</v>
      </c>
      <c r="M10" s="2" t="s">
        <v>46</v>
      </c>
      <c r="N10" s="2" t="s">
        <v>515</v>
      </c>
      <c r="O10" s="2" t="s">
        <v>47</v>
      </c>
      <c r="P10" s="46" t="s">
        <v>645</v>
      </c>
      <c r="Q10" s="2" t="s">
        <v>638</v>
      </c>
      <c r="R10" s="2" t="s">
        <v>397</v>
      </c>
      <c r="S10" s="5">
        <v>45894</v>
      </c>
      <c r="T10" s="5">
        <v>46259</v>
      </c>
      <c r="U10" s="2">
        <v>12</v>
      </c>
      <c r="V10" s="40" t="s">
        <v>629</v>
      </c>
      <c r="W10" s="2"/>
      <c r="X10" s="2"/>
      <c r="Y10" s="2"/>
      <c r="Z10" s="2"/>
      <c r="AA10" s="40"/>
      <c r="AB10" s="2"/>
      <c r="AC10" s="2" t="s">
        <v>805</v>
      </c>
      <c r="AD10" s="2" t="s">
        <v>507</v>
      </c>
      <c r="AE10" s="4">
        <v>40</v>
      </c>
      <c r="AF10" s="2" t="s">
        <v>626</v>
      </c>
      <c r="AG10" s="2" t="s">
        <v>49</v>
      </c>
      <c r="AH10" s="2" t="s">
        <v>627</v>
      </c>
      <c r="AI10" s="2"/>
      <c r="AJ10" s="56"/>
      <c r="AK10" s="2"/>
      <c r="AL10" s="2"/>
      <c r="AM10" s="40"/>
      <c r="AN10" s="2"/>
      <c r="AO10" s="2"/>
      <c r="AP10" s="2"/>
      <c r="AQ10" s="40"/>
      <c r="AR10" s="2"/>
      <c r="AS10" s="2"/>
      <c r="AT10" s="2"/>
      <c r="AU10" s="40"/>
      <c r="AV10" s="7">
        <v>48.4</v>
      </c>
      <c r="AW10" s="5">
        <v>46265</v>
      </c>
      <c r="AX10" s="5">
        <v>46265</v>
      </c>
      <c r="AY10" s="5">
        <v>46265</v>
      </c>
      <c r="AZ10" s="2"/>
      <c r="BA10" s="2" t="s">
        <v>51</v>
      </c>
      <c r="BB10" s="2" t="s">
        <v>52</v>
      </c>
      <c r="BC10" s="2" t="s">
        <v>398</v>
      </c>
      <c r="BD10" s="2" t="s">
        <v>397</v>
      </c>
      <c r="BE10" s="9">
        <v>0.5</v>
      </c>
      <c r="BF10" s="4">
        <f t="shared" si="0"/>
        <v>1600175788</v>
      </c>
      <c r="BG10" s="4" t="str">
        <f t="shared" si="1"/>
        <v>EXCCL-4060725</v>
      </c>
      <c r="BH10" s="4"/>
      <c r="BI10" s="20"/>
      <c r="BJ10" s="154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 spans="1:74" x14ac:dyDescent="0.35">
      <c r="A11" s="4" t="s">
        <v>57</v>
      </c>
      <c r="B11" s="131" t="s">
        <v>871</v>
      </c>
      <c r="C11" s="19" t="s">
        <v>72</v>
      </c>
      <c r="D11" s="2" t="s">
        <v>73</v>
      </c>
      <c r="E11" s="10">
        <v>1400498497</v>
      </c>
      <c r="F11" s="4" t="s">
        <v>652</v>
      </c>
      <c r="G11" s="5">
        <v>33556</v>
      </c>
      <c r="H11" s="4">
        <f>2026-1991</f>
        <v>35</v>
      </c>
      <c r="I11" s="2" t="s">
        <v>399</v>
      </c>
      <c r="J11" s="2" t="s">
        <v>44</v>
      </c>
      <c r="K11" s="2" t="s">
        <v>45</v>
      </c>
      <c r="L11" s="2" t="s">
        <v>46</v>
      </c>
      <c r="M11" s="2" t="s">
        <v>46</v>
      </c>
      <c r="N11" s="2" t="s">
        <v>647</v>
      </c>
      <c r="O11" s="2" t="s">
        <v>47</v>
      </c>
      <c r="P11" s="46" t="s">
        <v>646</v>
      </c>
      <c r="Q11" s="2" t="s">
        <v>638</v>
      </c>
      <c r="R11" s="2" t="s">
        <v>397</v>
      </c>
      <c r="S11" s="5">
        <v>45894</v>
      </c>
      <c r="T11" s="5">
        <v>46259</v>
      </c>
      <c r="U11" s="2">
        <v>12</v>
      </c>
      <c r="V11" s="40" t="s">
        <v>629</v>
      </c>
      <c r="W11" s="2"/>
      <c r="X11" s="2"/>
      <c r="Y11" s="2"/>
      <c r="Z11" s="2"/>
      <c r="AA11" s="40"/>
      <c r="AB11" s="2"/>
      <c r="AC11" s="2" t="s">
        <v>805</v>
      </c>
      <c r="AD11" s="2" t="s">
        <v>507</v>
      </c>
      <c r="AE11" s="4">
        <v>40</v>
      </c>
      <c r="AF11" s="2" t="s">
        <v>626</v>
      </c>
      <c r="AG11" s="2" t="s">
        <v>49</v>
      </c>
      <c r="AH11" s="2" t="s">
        <v>627</v>
      </c>
      <c r="AI11" s="2"/>
      <c r="AJ11" s="56"/>
      <c r="AK11" s="2"/>
      <c r="AL11" s="2"/>
      <c r="AM11" s="40"/>
      <c r="AN11" s="2"/>
      <c r="AO11" s="2"/>
      <c r="AP11" s="2"/>
      <c r="AQ11" s="40"/>
      <c r="AR11" s="2"/>
      <c r="AS11" s="2"/>
      <c r="AT11" s="2"/>
      <c r="AU11" s="40"/>
      <c r="AV11" s="7">
        <v>48.4</v>
      </c>
      <c r="AW11" s="5">
        <v>46265</v>
      </c>
      <c r="AX11" s="5">
        <v>46265</v>
      </c>
      <c r="AY11" s="5">
        <v>46265</v>
      </c>
      <c r="AZ11" s="2"/>
      <c r="BA11" s="2" t="s">
        <v>51</v>
      </c>
      <c r="BB11" s="2" t="s">
        <v>52</v>
      </c>
      <c r="BC11" s="2" t="s">
        <v>398</v>
      </c>
      <c r="BD11" s="2" t="s">
        <v>397</v>
      </c>
      <c r="BE11" s="9">
        <v>0.5</v>
      </c>
      <c r="BF11" s="4">
        <f t="shared" si="0"/>
        <v>1400498497</v>
      </c>
      <c r="BG11" s="4" t="str">
        <f t="shared" si="1"/>
        <v>EXCCL-3695707</v>
      </c>
      <c r="BH11" s="4"/>
      <c r="BI11" s="20"/>
      <c r="BJ11" s="154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 spans="1:74" x14ac:dyDescent="0.35">
      <c r="A12" s="4"/>
      <c r="B12" s="131" t="s">
        <v>872</v>
      </c>
      <c r="C12" s="19" t="s">
        <v>74</v>
      </c>
      <c r="D12" s="2" t="s">
        <v>75</v>
      </c>
      <c r="E12" s="10" t="s">
        <v>76</v>
      </c>
      <c r="F12" s="4" t="s">
        <v>653</v>
      </c>
      <c r="G12" s="5">
        <v>27257</v>
      </c>
      <c r="H12" s="4">
        <f>2026-1974</f>
        <v>52</v>
      </c>
      <c r="I12" s="2" t="s">
        <v>399</v>
      </c>
      <c r="J12" s="2" t="s">
        <v>44</v>
      </c>
      <c r="K12" s="2" t="s">
        <v>45</v>
      </c>
      <c r="L12" s="2" t="s">
        <v>46</v>
      </c>
      <c r="M12" s="2" t="s">
        <v>46</v>
      </c>
      <c r="N12" s="2" t="s">
        <v>516</v>
      </c>
      <c r="O12" s="2" t="s">
        <v>47</v>
      </c>
      <c r="P12" s="46" t="s">
        <v>648</v>
      </c>
      <c r="Q12" s="2" t="s">
        <v>638</v>
      </c>
      <c r="R12" s="2" t="s">
        <v>397</v>
      </c>
      <c r="S12" s="5">
        <v>45894</v>
      </c>
      <c r="T12" s="5">
        <v>46259</v>
      </c>
      <c r="U12" s="2">
        <v>12</v>
      </c>
      <c r="V12" s="40" t="s">
        <v>630</v>
      </c>
      <c r="W12" s="2"/>
      <c r="X12" s="2"/>
      <c r="Y12" s="2"/>
      <c r="Z12" s="2"/>
      <c r="AA12" s="40"/>
      <c r="AB12" s="2"/>
      <c r="AC12" s="2" t="s">
        <v>805</v>
      </c>
      <c r="AD12" s="2" t="s">
        <v>507</v>
      </c>
      <c r="AE12" s="4">
        <v>40</v>
      </c>
      <c r="AF12" s="2"/>
      <c r="AG12" s="2"/>
      <c r="AH12" s="2"/>
      <c r="AI12" s="2"/>
      <c r="AJ12" s="56" t="s">
        <v>77</v>
      </c>
      <c r="AK12" s="2" t="s">
        <v>49</v>
      </c>
      <c r="AL12" s="2" t="s">
        <v>402</v>
      </c>
      <c r="AM12" s="40" t="s">
        <v>78</v>
      </c>
      <c r="AN12" s="2"/>
      <c r="AO12" s="2"/>
      <c r="AP12" s="2"/>
      <c r="AQ12" s="40"/>
      <c r="AR12" s="2"/>
      <c r="AS12" s="2"/>
      <c r="AT12" s="2"/>
      <c r="AU12" s="40"/>
      <c r="AV12" s="7">
        <v>48.4</v>
      </c>
      <c r="AW12" s="5">
        <v>46265</v>
      </c>
      <c r="AX12" s="5">
        <v>46265</v>
      </c>
      <c r="AY12" s="5">
        <v>46265</v>
      </c>
      <c r="AZ12" s="2"/>
      <c r="BA12" s="2" t="s">
        <v>51</v>
      </c>
      <c r="BB12" s="2" t="s">
        <v>52</v>
      </c>
      <c r="BC12" s="2" t="s">
        <v>398</v>
      </c>
      <c r="BD12" s="2" t="s">
        <v>397</v>
      </c>
      <c r="BE12" s="9">
        <v>0.5</v>
      </c>
      <c r="BF12" s="4" t="str">
        <f t="shared" si="0"/>
        <v>1400379119</v>
      </c>
      <c r="BG12" s="4" t="str">
        <f t="shared" si="1"/>
        <v>EXCCL-5280041</v>
      </c>
      <c r="BH12" s="4"/>
      <c r="BI12" s="20"/>
      <c r="BJ12" s="154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 spans="1:74" x14ac:dyDescent="0.35">
      <c r="A13" s="4"/>
      <c r="B13" s="131" t="s">
        <v>873</v>
      </c>
      <c r="C13" s="19" t="s">
        <v>79</v>
      </c>
      <c r="D13" s="2" t="s">
        <v>80</v>
      </c>
      <c r="E13" s="10">
        <v>1450177868</v>
      </c>
      <c r="F13" s="4" t="s">
        <v>654</v>
      </c>
      <c r="G13" s="5">
        <v>34545</v>
      </c>
      <c r="H13" s="4">
        <f>2026-1994</f>
        <v>32</v>
      </c>
      <c r="I13" s="2" t="s">
        <v>399</v>
      </c>
      <c r="J13" s="2" t="s">
        <v>44</v>
      </c>
      <c r="K13" s="2" t="s">
        <v>45</v>
      </c>
      <c r="L13" s="2" t="s">
        <v>46</v>
      </c>
      <c r="M13" s="2" t="s">
        <v>46</v>
      </c>
      <c r="N13" s="2" t="s">
        <v>517</v>
      </c>
      <c r="O13" s="2" t="s">
        <v>47</v>
      </c>
      <c r="P13" s="46" t="s">
        <v>649</v>
      </c>
      <c r="Q13" s="2" t="s">
        <v>638</v>
      </c>
      <c r="R13" s="2" t="s">
        <v>397</v>
      </c>
      <c r="S13" s="5">
        <v>45894</v>
      </c>
      <c r="T13" s="5">
        <v>46259</v>
      </c>
      <c r="U13" s="2">
        <v>12</v>
      </c>
      <c r="V13" s="40" t="s">
        <v>630</v>
      </c>
      <c r="W13" s="2"/>
      <c r="X13" s="2"/>
      <c r="Y13" s="2"/>
      <c r="Z13" s="2"/>
      <c r="AA13" s="40"/>
      <c r="AB13" s="2"/>
      <c r="AC13" s="2" t="s">
        <v>805</v>
      </c>
      <c r="AD13" s="2" t="s">
        <v>507</v>
      </c>
      <c r="AE13" s="4">
        <v>40</v>
      </c>
      <c r="AF13" s="2"/>
      <c r="AG13" s="2"/>
      <c r="AH13" s="2"/>
      <c r="AI13" s="2"/>
      <c r="AJ13" s="56" t="s">
        <v>81</v>
      </c>
      <c r="AK13" s="2" t="s">
        <v>49</v>
      </c>
      <c r="AL13" s="2" t="s">
        <v>46</v>
      </c>
      <c r="AM13" s="40" t="s">
        <v>82</v>
      </c>
      <c r="AN13" s="2"/>
      <c r="AO13" s="2"/>
      <c r="AP13" s="2"/>
      <c r="AQ13" s="40"/>
      <c r="AR13" s="2"/>
      <c r="AS13" s="2"/>
      <c r="AT13" s="2"/>
      <c r="AU13" s="40"/>
      <c r="AV13" s="7">
        <v>48.4</v>
      </c>
      <c r="AW13" s="5">
        <v>46265</v>
      </c>
      <c r="AX13" s="5">
        <v>46265</v>
      </c>
      <c r="AY13" s="5">
        <v>46265</v>
      </c>
      <c r="AZ13" s="2"/>
      <c r="BA13" s="2" t="s">
        <v>51</v>
      </c>
      <c r="BB13" s="2" t="s">
        <v>52</v>
      </c>
      <c r="BC13" s="2" t="s">
        <v>398</v>
      </c>
      <c r="BD13" s="2" t="s">
        <v>397</v>
      </c>
      <c r="BE13" s="9">
        <v>0.5</v>
      </c>
      <c r="BF13" s="4">
        <f t="shared" si="0"/>
        <v>1450177868</v>
      </c>
      <c r="BG13" s="4" t="str">
        <f t="shared" si="1"/>
        <v>EXCCL-4951195</v>
      </c>
      <c r="BH13" s="4"/>
      <c r="BI13" s="20"/>
      <c r="BJ13" s="154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 spans="1:74" x14ac:dyDescent="0.35">
      <c r="A14" s="4"/>
      <c r="B14" s="131" t="s">
        <v>874</v>
      </c>
      <c r="C14" s="19" t="s">
        <v>83</v>
      </c>
      <c r="D14" s="2" t="s">
        <v>84</v>
      </c>
      <c r="E14" s="10">
        <v>1400476337</v>
      </c>
      <c r="F14" s="4" t="s">
        <v>656</v>
      </c>
      <c r="G14" s="5">
        <v>30828</v>
      </c>
      <c r="H14" s="4">
        <f>2026-1984</f>
        <v>42</v>
      </c>
      <c r="I14" s="2" t="s">
        <v>399</v>
      </c>
      <c r="J14" s="2" t="s">
        <v>44</v>
      </c>
      <c r="K14" s="2" t="s">
        <v>45</v>
      </c>
      <c r="L14" s="2" t="s">
        <v>46</v>
      </c>
      <c r="M14" s="2" t="s">
        <v>46</v>
      </c>
      <c r="N14" s="2" t="s">
        <v>518</v>
      </c>
      <c r="O14" s="2" t="s">
        <v>47</v>
      </c>
      <c r="P14" s="46" t="s">
        <v>655</v>
      </c>
      <c r="Q14" s="2" t="s">
        <v>638</v>
      </c>
      <c r="R14" s="2" t="s">
        <v>397</v>
      </c>
      <c r="S14" s="5">
        <v>45894</v>
      </c>
      <c r="T14" s="5">
        <v>46259</v>
      </c>
      <c r="U14" s="2">
        <v>12</v>
      </c>
      <c r="V14" s="40" t="s">
        <v>630</v>
      </c>
      <c r="W14" s="2"/>
      <c r="X14" s="2"/>
      <c r="Y14" s="2"/>
      <c r="Z14" s="2"/>
      <c r="AA14" s="40"/>
      <c r="AB14" s="2"/>
      <c r="AC14" s="2" t="s">
        <v>805</v>
      </c>
      <c r="AD14" s="2" t="s">
        <v>507</v>
      </c>
      <c r="AE14" s="4">
        <v>40</v>
      </c>
      <c r="AF14" s="2"/>
      <c r="AG14" s="2"/>
      <c r="AH14" s="2"/>
      <c r="AI14" s="2"/>
      <c r="AJ14" s="56" t="s">
        <v>81</v>
      </c>
      <c r="AK14" s="2" t="s">
        <v>49</v>
      </c>
      <c r="AL14" s="2" t="s">
        <v>46</v>
      </c>
      <c r="AM14" s="40" t="s">
        <v>85</v>
      </c>
      <c r="AN14" s="2"/>
      <c r="AO14" s="2"/>
      <c r="AP14" s="2"/>
      <c r="AQ14" s="40"/>
      <c r="AR14" s="2"/>
      <c r="AS14" s="2"/>
      <c r="AT14" s="2"/>
      <c r="AU14" s="40"/>
      <c r="AV14" s="7">
        <v>48.4</v>
      </c>
      <c r="AW14" s="5">
        <v>46265</v>
      </c>
      <c r="AX14" s="5">
        <v>46265</v>
      </c>
      <c r="AY14" s="5">
        <v>46265</v>
      </c>
      <c r="AZ14" s="2"/>
      <c r="BA14" s="2" t="s">
        <v>51</v>
      </c>
      <c r="BB14" s="2" t="s">
        <v>52</v>
      </c>
      <c r="BC14" s="2" t="s">
        <v>398</v>
      </c>
      <c r="BD14" s="2" t="s">
        <v>397</v>
      </c>
      <c r="BE14" s="9">
        <v>0.5</v>
      </c>
      <c r="BF14" s="4">
        <f t="shared" si="0"/>
        <v>1400476337</v>
      </c>
      <c r="BG14" s="4" t="str">
        <f t="shared" si="1"/>
        <v>EXCCL-4619572</v>
      </c>
      <c r="BH14" s="4"/>
      <c r="BI14" s="20"/>
      <c r="BJ14" s="154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74" x14ac:dyDescent="0.35">
      <c r="A15" s="4" t="s">
        <v>57</v>
      </c>
      <c r="B15" s="131" t="s">
        <v>875</v>
      </c>
      <c r="C15" s="96" t="s">
        <v>86</v>
      </c>
      <c r="D15" s="38" t="s">
        <v>87</v>
      </c>
      <c r="E15" s="97">
        <v>1400436232</v>
      </c>
      <c r="F15" s="45" t="s">
        <v>658</v>
      </c>
      <c r="G15" s="74">
        <v>29315</v>
      </c>
      <c r="H15" s="45">
        <f>2026-1980</f>
        <v>46</v>
      </c>
      <c r="I15" s="38" t="s">
        <v>399</v>
      </c>
      <c r="J15" s="38" t="s">
        <v>44</v>
      </c>
      <c r="K15" s="38" t="s">
        <v>45</v>
      </c>
      <c r="L15" s="38" t="s">
        <v>46</v>
      </c>
      <c r="M15" s="38" t="s">
        <v>46</v>
      </c>
      <c r="N15" s="38" t="s">
        <v>519</v>
      </c>
      <c r="O15" s="38" t="s">
        <v>47</v>
      </c>
      <c r="P15" s="75" t="s">
        <v>657</v>
      </c>
      <c r="Q15" s="38" t="s">
        <v>638</v>
      </c>
      <c r="R15" s="38" t="s">
        <v>397</v>
      </c>
      <c r="S15" s="74">
        <v>45894</v>
      </c>
      <c r="T15" s="74">
        <v>46259</v>
      </c>
      <c r="U15" s="38">
        <v>12</v>
      </c>
      <c r="V15" s="76" t="s">
        <v>629</v>
      </c>
      <c r="W15" s="38"/>
      <c r="X15" s="38"/>
      <c r="Y15" s="38"/>
      <c r="Z15" s="38"/>
      <c r="AA15" s="76"/>
      <c r="AB15" s="38"/>
      <c r="AC15" s="38" t="s">
        <v>805</v>
      </c>
      <c r="AD15" s="38" t="s">
        <v>507</v>
      </c>
      <c r="AE15" s="45">
        <v>40</v>
      </c>
      <c r="AF15" s="38" t="s">
        <v>626</v>
      </c>
      <c r="AG15" s="38" t="s">
        <v>49</v>
      </c>
      <c r="AH15" s="38" t="s">
        <v>627</v>
      </c>
      <c r="AI15" s="38"/>
      <c r="AJ15" s="98"/>
      <c r="AK15" s="38"/>
      <c r="AL15" s="38"/>
      <c r="AM15" s="76"/>
      <c r="AN15" s="38"/>
      <c r="AO15" s="38"/>
      <c r="AP15" s="38"/>
      <c r="AQ15" s="76"/>
      <c r="AR15" s="38"/>
      <c r="AS15" s="38"/>
      <c r="AT15" s="38"/>
      <c r="AU15" s="76"/>
      <c r="AV15" s="77">
        <v>48.4</v>
      </c>
      <c r="AW15" s="74">
        <v>46265</v>
      </c>
      <c r="AX15" s="74">
        <v>46265</v>
      </c>
      <c r="AY15" s="74">
        <v>46265</v>
      </c>
      <c r="AZ15" s="38"/>
      <c r="BA15" s="38" t="s">
        <v>51</v>
      </c>
      <c r="BB15" s="38" t="s">
        <v>52</v>
      </c>
      <c r="BC15" s="38" t="s">
        <v>398</v>
      </c>
      <c r="BD15" s="38" t="s">
        <v>397</v>
      </c>
      <c r="BE15" s="99">
        <v>0.5</v>
      </c>
      <c r="BF15" s="45">
        <f t="shared" si="0"/>
        <v>1400436232</v>
      </c>
      <c r="BG15" s="45" t="str">
        <f t="shared" si="1"/>
        <v>EXCCL-83002</v>
      </c>
      <c r="BH15" s="45"/>
      <c r="BI15" s="100"/>
      <c r="BJ15" s="154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 spans="1:74" x14ac:dyDescent="0.35">
      <c r="A16" s="4"/>
      <c r="B16" s="131" t="s">
        <v>876</v>
      </c>
      <c r="C16" s="19" t="s">
        <v>88</v>
      </c>
      <c r="D16" s="2" t="s">
        <v>89</v>
      </c>
      <c r="E16" s="10">
        <v>1400456370</v>
      </c>
      <c r="F16" s="4" t="s">
        <v>664</v>
      </c>
      <c r="G16" s="5">
        <v>32572</v>
      </c>
      <c r="H16" s="4">
        <f>2026-1989</f>
        <v>37</v>
      </c>
      <c r="I16" s="2" t="s">
        <v>399</v>
      </c>
      <c r="J16" s="2" t="s">
        <v>44</v>
      </c>
      <c r="K16" s="2" t="s">
        <v>45</v>
      </c>
      <c r="L16" s="2" t="s">
        <v>46</v>
      </c>
      <c r="M16" s="2" t="s">
        <v>46</v>
      </c>
      <c r="N16" s="2" t="s">
        <v>520</v>
      </c>
      <c r="O16" s="2" t="s">
        <v>47</v>
      </c>
      <c r="P16" s="46" t="s">
        <v>659</v>
      </c>
      <c r="Q16" s="2" t="s">
        <v>638</v>
      </c>
      <c r="R16" s="2" t="s">
        <v>397</v>
      </c>
      <c r="S16" s="5">
        <v>45894</v>
      </c>
      <c r="T16" s="5">
        <v>46259</v>
      </c>
      <c r="U16" s="2">
        <v>12</v>
      </c>
      <c r="V16" s="40" t="s">
        <v>630</v>
      </c>
      <c r="W16" s="2"/>
      <c r="X16" s="2"/>
      <c r="Y16" s="2"/>
      <c r="Z16" s="2"/>
      <c r="AA16" s="40"/>
      <c r="AB16" s="2"/>
      <c r="AC16" s="2" t="s">
        <v>805</v>
      </c>
      <c r="AD16" s="2" t="s">
        <v>507</v>
      </c>
      <c r="AE16" s="4">
        <v>40</v>
      </c>
      <c r="AF16" s="2"/>
      <c r="AG16" s="2"/>
      <c r="AH16" s="2"/>
      <c r="AI16" s="2"/>
      <c r="AJ16" s="56" t="s">
        <v>90</v>
      </c>
      <c r="AK16" s="2" t="s">
        <v>49</v>
      </c>
      <c r="AL16" s="2" t="s">
        <v>46</v>
      </c>
      <c r="AM16" s="40" t="s">
        <v>78</v>
      </c>
      <c r="AN16" s="2"/>
      <c r="AO16" s="2"/>
      <c r="AP16" s="2"/>
      <c r="AQ16" s="40"/>
      <c r="AR16" s="2"/>
      <c r="AS16" s="2"/>
      <c r="AT16" s="2"/>
      <c r="AU16" s="40"/>
      <c r="AV16" s="7">
        <v>48.4</v>
      </c>
      <c r="AW16" s="5">
        <v>46265</v>
      </c>
      <c r="AX16" s="5">
        <v>46265</v>
      </c>
      <c r="AY16" s="5">
        <v>46265</v>
      </c>
      <c r="AZ16" s="59"/>
      <c r="BA16" s="2" t="s">
        <v>51</v>
      </c>
      <c r="BB16" s="2" t="s">
        <v>52</v>
      </c>
      <c r="BC16" s="2" t="s">
        <v>398</v>
      </c>
      <c r="BD16" s="2" t="s">
        <v>397</v>
      </c>
      <c r="BE16" s="9">
        <v>0.58333333333333337</v>
      </c>
      <c r="BF16" s="4">
        <f t="shared" si="0"/>
        <v>1400456370</v>
      </c>
      <c r="BG16" s="4" t="str">
        <f t="shared" si="1"/>
        <v>EXCCL-4225526</v>
      </c>
      <c r="BH16" s="4"/>
      <c r="BI16" s="20"/>
      <c r="BJ16" s="154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 spans="1:74" x14ac:dyDescent="0.35">
      <c r="A17" s="4" t="s">
        <v>57</v>
      </c>
      <c r="B17" s="131" t="s">
        <v>877</v>
      </c>
      <c r="C17" s="19" t="s">
        <v>91</v>
      </c>
      <c r="D17" s="2" t="s">
        <v>92</v>
      </c>
      <c r="E17" s="10" t="s">
        <v>93</v>
      </c>
      <c r="F17" s="4" t="s">
        <v>665</v>
      </c>
      <c r="G17" s="5">
        <v>26269</v>
      </c>
      <c r="H17" s="4">
        <f>2026-1971</f>
        <v>55</v>
      </c>
      <c r="I17" s="2" t="s">
        <v>399</v>
      </c>
      <c r="J17" s="2" t="s">
        <v>44</v>
      </c>
      <c r="K17" s="2" t="s">
        <v>45</v>
      </c>
      <c r="L17" s="2" t="s">
        <v>46</v>
      </c>
      <c r="M17" s="2" t="s">
        <v>46</v>
      </c>
      <c r="N17" s="2" t="s">
        <v>521</v>
      </c>
      <c r="O17" s="2" t="s">
        <v>47</v>
      </c>
      <c r="P17" s="46" t="s">
        <v>660</v>
      </c>
      <c r="Q17" s="2" t="s">
        <v>638</v>
      </c>
      <c r="R17" s="2" t="s">
        <v>397</v>
      </c>
      <c r="S17" s="5">
        <v>45894</v>
      </c>
      <c r="T17" s="5">
        <v>46259</v>
      </c>
      <c r="U17" s="2">
        <v>12</v>
      </c>
      <c r="V17" s="40" t="s">
        <v>629</v>
      </c>
      <c r="W17" s="2"/>
      <c r="X17" s="2"/>
      <c r="Y17" s="2"/>
      <c r="Z17" s="2"/>
      <c r="AA17" s="40"/>
      <c r="AB17" s="2"/>
      <c r="AC17" s="2" t="s">
        <v>805</v>
      </c>
      <c r="AD17" s="2" t="s">
        <v>507</v>
      </c>
      <c r="AE17" s="4">
        <v>40</v>
      </c>
      <c r="AF17" s="2" t="s">
        <v>626</v>
      </c>
      <c r="AG17" s="2" t="s">
        <v>49</v>
      </c>
      <c r="AH17" s="2" t="s">
        <v>627</v>
      </c>
      <c r="AI17" s="2"/>
      <c r="AJ17" s="56"/>
      <c r="AK17" s="2"/>
      <c r="AL17" s="2"/>
      <c r="AM17" s="40"/>
      <c r="AN17" s="2"/>
      <c r="AO17" s="2"/>
      <c r="AP17" s="2"/>
      <c r="AQ17" s="40"/>
      <c r="AR17" s="2"/>
      <c r="AS17" s="2"/>
      <c r="AT17" s="2"/>
      <c r="AU17" s="40"/>
      <c r="AV17" s="7">
        <v>48.4</v>
      </c>
      <c r="AW17" s="5">
        <v>46265</v>
      </c>
      <c r="AX17" s="5">
        <v>46265</v>
      </c>
      <c r="AY17" s="5">
        <v>46265</v>
      </c>
      <c r="AZ17" s="59"/>
      <c r="BA17" s="2" t="s">
        <v>51</v>
      </c>
      <c r="BB17" s="2" t="s">
        <v>52</v>
      </c>
      <c r="BC17" s="2" t="s">
        <v>398</v>
      </c>
      <c r="BD17" s="2" t="s">
        <v>397</v>
      </c>
      <c r="BE17" s="9">
        <v>0.58333333333333337</v>
      </c>
      <c r="BF17" s="4" t="str">
        <f t="shared" si="0"/>
        <v>0103204640</v>
      </c>
      <c r="BG17" s="4" t="str">
        <f t="shared" si="1"/>
        <v>EXCCL-8096871</v>
      </c>
      <c r="BH17" s="4"/>
      <c r="BI17" s="20"/>
      <c r="BJ17" s="154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 spans="1:74" x14ac:dyDescent="0.35">
      <c r="A18" s="4" t="s">
        <v>94</v>
      </c>
      <c r="B18" s="131" t="s">
        <v>878</v>
      </c>
      <c r="C18" s="19" t="s">
        <v>95</v>
      </c>
      <c r="D18" s="2" t="s">
        <v>96</v>
      </c>
      <c r="E18" s="58">
        <v>1102434592</v>
      </c>
      <c r="F18" s="4" t="s">
        <v>666</v>
      </c>
      <c r="G18" s="5">
        <v>23900</v>
      </c>
      <c r="H18" s="4">
        <f>2026-1965</f>
        <v>61</v>
      </c>
      <c r="I18" s="2" t="s">
        <v>399</v>
      </c>
      <c r="J18" s="2" t="s">
        <v>44</v>
      </c>
      <c r="K18" s="2" t="s">
        <v>45</v>
      </c>
      <c r="L18" s="2" t="s">
        <v>46</v>
      </c>
      <c r="M18" s="2" t="s">
        <v>46</v>
      </c>
      <c r="N18" s="2" t="s">
        <v>522</v>
      </c>
      <c r="O18" s="2" t="s">
        <v>47</v>
      </c>
      <c r="P18" s="46" t="s">
        <v>661</v>
      </c>
      <c r="Q18" s="2" t="s">
        <v>638</v>
      </c>
      <c r="R18" s="2" t="s">
        <v>397</v>
      </c>
      <c r="S18" s="5">
        <v>45894</v>
      </c>
      <c r="T18" s="5">
        <v>46259</v>
      </c>
      <c r="U18" s="2">
        <v>12</v>
      </c>
      <c r="V18" s="40" t="s">
        <v>629</v>
      </c>
      <c r="W18" s="2"/>
      <c r="X18" s="2"/>
      <c r="Y18" s="2"/>
      <c r="Z18" s="2"/>
      <c r="AA18" s="40"/>
      <c r="AB18" s="2"/>
      <c r="AC18" s="2" t="s">
        <v>805</v>
      </c>
      <c r="AD18" s="2" t="s">
        <v>507</v>
      </c>
      <c r="AE18" s="4">
        <v>40</v>
      </c>
      <c r="AF18" s="2"/>
      <c r="AG18" s="2"/>
      <c r="AH18" s="2"/>
      <c r="AI18" s="2"/>
      <c r="AJ18" s="56"/>
      <c r="AK18" s="2"/>
      <c r="AL18" s="2"/>
      <c r="AM18" s="40"/>
      <c r="AN18" s="2" t="s">
        <v>97</v>
      </c>
      <c r="AO18" s="2" t="s">
        <v>49</v>
      </c>
      <c r="AP18" s="2" t="s">
        <v>411</v>
      </c>
      <c r="AQ18" s="40" t="s">
        <v>98</v>
      </c>
      <c r="AR18" s="2"/>
      <c r="AS18" s="2"/>
      <c r="AT18" s="2"/>
      <c r="AU18" s="40"/>
      <c r="AV18" s="7">
        <v>48.4</v>
      </c>
      <c r="AW18" s="5">
        <v>46265</v>
      </c>
      <c r="AX18" s="5">
        <v>46265</v>
      </c>
      <c r="AY18" s="5">
        <v>46265</v>
      </c>
      <c r="AZ18" s="59"/>
      <c r="BA18" s="2" t="s">
        <v>51</v>
      </c>
      <c r="BB18" s="2" t="s">
        <v>52</v>
      </c>
      <c r="BC18" s="2" t="s">
        <v>398</v>
      </c>
      <c r="BD18" s="2" t="s">
        <v>397</v>
      </c>
      <c r="BE18" s="9">
        <v>0.58333333333333337</v>
      </c>
      <c r="BF18" s="4">
        <f t="shared" si="0"/>
        <v>1102434592</v>
      </c>
      <c r="BG18" s="4" t="str">
        <f t="shared" si="1"/>
        <v>EXCCL-8671251</v>
      </c>
      <c r="BH18" s="4"/>
      <c r="BI18" s="20"/>
      <c r="BJ18" s="154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 spans="1:74" x14ac:dyDescent="0.35">
      <c r="A19" s="4"/>
      <c r="B19" s="131" t="s">
        <v>879</v>
      </c>
      <c r="C19" s="19" t="s">
        <v>99</v>
      </c>
      <c r="D19" s="2" t="s">
        <v>100</v>
      </c>
      <c r="E19" s="10">
        <v>1600902967</v>
      </c>
      <c r="F19" s="4" t="s">
        <v>667</v>
      </c>
      <c r="G19" s="5">
        <v>32609</v>
      </c>
      <c r="H19" s="4">
        <f>2026-1989</f>
        <v>37</v>
      </c>
      <c r="I19" s="2" t="s">
        <v>399</v>
      </c>
      <c r="J19" s="2" t="s">
        <v>44</v>
      </c>
      <c r="K19" s="2" t="s">
        <v>45</v>
      </c>
      <c r="L19" s="2" t="s">
        <v>46</v>
      </c>
      <c r="M19" s="2" t="s">
        <v>46</v>
      </c>
      <c r="N19" s="2" t="s">
        <v>523</v>
      </c>
      <c r="O19" s="2" t="s">
        <v>47</v>
      </c>
      <c r="P19" s="46" t="s">
        <v>662</v>
      </c>
      <c r="Q19" s="2" t="s">
        <v>638</v>
      </c>
      <c r="R19" s="2" t="s">
        <v>397</v>
      </c>
      <c r="S19" s="5">
        <v>45894</v>
      </c>
      <c r="T19" s="5">
        <v>46259</v>
      </c>
      <c r="U19" s="2">
        <v>12</v>
      </c>
      <c r="V19" s="40" t="s">
        <v>630</v>
      </c>
      <c r="W19" s="2"/>
      <c r="X19" s="2"/>
      <c r="Y19" s="2"/>
      <c r="Z19" s="2"/>
      <c r="AA19" s="40"/>
      <c r="AB19" s="2"/>
      <c r="AC19" s="2" t="s">
        <v>805</v>
      </c>
      <c r="AD19" s="2" t="s">
        <v>507</v>
      </c>
      <c r="AE19" s="4">
        <v>40</v>
      </c>
      <c r="AF19" s="2"/>
      <c r="AG19" s="2"/>
      <c r="AH19" s="2"/>
      <c r="AI19" s="2"/>
      <c r="AJ19" s="56" t="s">
        <v>101</v>
      </c>
      <c r="AK19" s="2" t="s">
        <v>49</v>
      </c>
      <c r="AL19" s="2" t="s">
        <v>403</v>
      </c>
      <c r="AM19" s="40" t="s">
        <v>102</v>
      </c>
      <c r="AN19" s="2"/>
      <c r="AO19" s="2"/>
      <c r="AP19" s="2"/>
      <c r="AQ19" s="40"/>
      <c r="AR19" s="2"/>
      <c r="AS19" s="2"/>
      <c r="AT19" s="2"/>
      <c r="AU19" s="40"/>
      <c r="AV19" s="7">
        <v>48.4</v>
      </c>
      <c r="AW19" s="5">
        <v>46265</v>
      </c>
      <c r="AX19" s="5">
        <v>46265</v>
      </c>
      <c r="AY19" s="5">
        <v>46265</v>
      </c>
      <c r="AZ19" s="2"/>
      <c r="BA19" s="2" t="s">
        <v>51</v>
      </c>
      <c r="BB19" s="2" t="s">
        <v>52</v>
      </c>
      <c r="BC19" s="2" t="s">
        <v>398</v>
      </c>
      <c r="BD19" s="2" t="s">
        <v>397</v>
      </c>
      <c r="BE19" s="9">
        <v>0.58333333333333337</v>
      </c>
      <c r="BF19" s="4">
        <f t="shared" si="0"/>
        <v>1600902967</v>
      </c>
      <c r="BG19" s="4" t="str">
        <f t="shared" si="1"/>
        <v>EXCCL-4057138</v>
      </c>
      <c r="BH19" s="4"/>
      <c r="BI19" s="20"/>
      <c r="BJ19" s="154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 spans="1:74" x14ac:dyDescent="0.35">
      <c r="A20" s="4"/>
      <c r="B20" s="131" t="s">
        <v>880</v>
      </c>
      <c r="C20" s="19" t="s">
        <v>103</v>
      </c>
      <c r="D20" s="2" t="s">
        <v>104</v>
      </c>
      <c r="E20" s="10">
        <v>1400431563</v>
      </c>
      <c r="F20" s="4" t="s">
        <v>668</v>
      </c>
      <c r="G20" s="5">
        <v>30499</v>
      </c>
      <c r="H20" s="4">
        <f>2026-1983</f>
        <v>43</v>
      </c>
      <c r="I20" s="2" t="s">
        <v>399</v>
      </c>
      <c r="J20" s="2" t="s">
        <v>44</v>
      </c>
      <c r="K20" s="2" t="s">
        <v>45</v>
      </c>
      <c r="L20" s="2" t="s">
        <v>46</v>
      </c>
      <c r="M20" s="2" t="s">
        <v>46</v>
      </c>
      <c r="N20" s="2" t="s">
        <v>524</v>
      </c>
      <c r="O20" s="2" t="s">
        <v>47</v>
      </c>
      <c r="P20" s="46" t="s">
        <v>663</v>
      </c>
      <c r="Q20" s="2" t="s">
        <v>638</v>
      </c>
      <c r="R20" s="2" t="s">
        <v>397</v>
      </c>
      <c r="S20" s="5">
        <v>45894</v>
      </c>
      <c r="T20" s="5">
        <v>46259</v>
      </c>
      <c r="U20" s="2">
        <v>12</v>
      </c>
      <c r="V20" s="40" t="s">
        <v>630</v>
      </c>
      <c r="W20" s="2"/>
      <c r="X20" s="2"/>
      <c r="Y20" s="2"/>
      <c r="Z20" s="2"/>
      <c r="AA20" s="40"/>
      <c r="AB20" s="2"/>
      <c r="AC20" s="2" t="s">
        <v>805</v>
      </c>
      <c r="AD20" s="2" t="s">
        <v>507</v>
      </c>
      <c r="AE20" s="4">
        <v>40</v>
      </c>
      <c r="AF20" s="2"/>
      <c r="AG20" s="2"/>
      <c r="AH20" s="2"/>
      <c r="AI20" s="2"/>
      <c r="AJ20" s="56" t="s">
        <v>90</v>
      </c>
      <c r="AK20" s="2" t="s">
        <v>49</v>
      </c>
      <c r="AL20" s="2" t="s">
        <v>46</v>
      </c>
      <c r="AM20" s="40" t="s">
        <v>78</v>
      </c>
      <c r="AN20" s="2"/>
      <c r="AO20" s="2"/>
      <c r="AP20" s="2"/>
      <c r="AQ20" s="40"/>
      <c r="AR20" s="2"/>
      <c r="AS20" s="2"/>
      <c r="AT20" s="2"/>
      <c r="AU20" s="40"/>
      <c r="AV20" s="7">
        <v>48.4</v>
      </c>
      <c r="AW20" s="5">
        <v>46265</v>
      </c>
      <c r="AX20" s="5">
        <v>46265</v>
      </c>
      <c r="AY20" s="5">
        <v>46265</v>
      </c>
      <c r="AZ20" s="2"/>
      <c r="BA20" s="2" t="s">
        <v>51</v>
      </c>
      <c r="BB20" s="2" t="s">
        <v>52</v>
      </c>
      <c r="BC20" s="2" t="s">
        <v>398</v>
      </c>
      <c r="BD20" s="2" t="s">
        <v>397</v>
      </c>
      <c r="BE20" s="9">
        <v>0.58333333333333337</v>
      </c>
      <c r="BF20" s="4">
        <f t="shared" si="0"/>
        <v>1400431563</v>
      </c>
      <c r="BG20" s="4" t="str">
        <f t="shared" si="1"/>
        <v>EXCCL-9550365</v>
      </c>
      <c r="BH20" s="4"/>
      <c r="BI20" s="20"/>
      <c r="BJ20" s="154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 spans="1:74" x14ac:dyDescent="0.35">
      <c r="A21" s="4" t="s">
        <v>57</v>
      </c>
      <c r="B21" s="131" t="s">
        <v>881</v>
      </c>
      <c r="C21" s="19" t="s">
        <v>105</v>
      </c>
      <c r="D21" s="2" t="s">
        <v>106</v>
      </c>
      <c r="E21" s="10" t="s">
        <v>107</v>
      </c>
      <c r="F21" s="4" t="s">
        <v>673</v>
      </c>
      <c r="G21" s="5">
        <v>24646</v>
      </c>
      <c r="H21" s="4">
        <f>2026-1967</f>
        <v>59</v>
      </c>
      <c r="I21" s="2" t="s">
        <v>399</v>
      </c>
      <c r="J21" s="2" t="s">
        <v>44</v>
      </c>
      <c r="K21" s="2" t="s">
        <v>45</v>
      </c>
      <c r="L21" s="2" t="s">
        <v>46</v>
      </c>
      <c r="M21" s="2" t="s">
        <v>46</v>
      </c>
      <c r="N21" s="2" t="s">
        <v>525</v>
      </c>
      <c r="O21" s="2" t="s">
        <v>47</v>
      </c>
      <c r="P21" s="46" t="s">
        <v>669</v>
      </c>
      <c r="Q21" s="2" t="s">
        <v>638</v>
      </c>
      <c r="R21" s="2" t="s">
        <v>397</v>
      </c>
      <c r="S21" s="5">
        <v>45894</v>
      </c>
      <c r="T21" s="5">
        <v>46259</v>
      </c>
      <c r="U21" s="2">
        <v>12</v>
      </c>
      <c r="V21" s="40" t="s">
        <v>629</v>
      </c>
      <c r="W21" s="2"/>
      <c r="X21" s="2"/>
      <c r="Y21" s="2"/>
      <c r="Z21" s="2"/>
      <c r="AA21" s="40"/>
      <c r="AB21" s="2"/>
      <c r="AC21" s="2" t="s">
        <v>805</v>
      </c>
      <c r="AD21" s="2" t="s">
        <v>507</v>
      </c>
      <c r="AE21" s="4">
        <v>40</v>
      </c>
      <c r="AF21" s="2" t="s">
        <v>626</v>
      </c>
      <c r="AG21" s="2" t="s">
        <v>49</v>
      </c>
      <c r="AH21" s="2" t="s">
        <v>627</v>
      </c>
      <c r="AI21" s="2"/>
      <c r="AJ21" s="56"/>
      <c r="AK21" s="2"/>
      <c r="AL21" s="2"/>
      <c r="AM21" s="40"/>
      <c r="AN21" s="2"/>
      <c r="AO21" s="2"/>
      <c r="AP21" s="2"/>
      <c r="AQ21" s="40"/>
      <c r="AR21" s="2"/>
      <c r="AS21" s="2"/>
      <c r="AT21" s="2"/>
      <c r="AU21" s="40"/>
      <c r="AV21" s="7">
        <v>48.4</v>
      </c>
      <c r="AW21" s="5">
        <v>46265</v>
      </c>
      <c r="AX21" s="5">
        <v>46265</v>
      </c>
      <c r="AY21" s="5">
        <v>46265</v>
      </c>
      <c r="AZ21" s="2"/>
      <c r="BA21" s="2" t="s">
        <v>51</v>
      </c>
      <c r="BB21" s="2" t="s">
        <v>52</v>
      </c>
      <c r="BC21" s="2" t="s">
        <v>398</v>
      </c>
      <c r="BD21" s="2" t="s">
        <v>397</v>
      </c>
      <c r="BE21" s="9">
        <v>0.58333333333333337</v>
      </c>
      <c r="BF21" s="4" t="str">
        <f t="shared" si="0"/>
        <v>1709345878</v>
      </c>
      <c r="BG21" s="4" t="str">
        <f t="shared" si="1"/>
        <v>EXCCL-2053271</v>
      </c>
      <c r="BH21" s="4"/>
      <c r="BI21" s="20"/>
      <c r="BJ21" s="154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 spans="1:74" x14ac:dyDescent="0.35">
      <c r="A22" s="4" t="s">
        <v>94</v>
      </c>
      <c r="B22" s="131" t="s">
        <v>882</v>
      </c>
      <c r="C22" s="19" t="s">
        <v>108</v>
      </c>
      <c r="D22" s="2" t="s">
        <v>109</v>
      </c>
      <c r="E22" s="10">
        <v>1400309090</v>
      </c>
      <c r="F22" s="4" t="s">
        <v>674</v>
      </c>
      <c r="G22" s="5">
        <v>25496</v>
      </c>
      <c r="H22" s="4">
        <f>2026-1969</f>
        <v>57</v>
      </c>
      <c r="I22" s="2" t="s">
        <v>399</v>
      </c>
      <c r="J22" s="2" t="s">
        <v>44</v>
      </c>
      <c r="K22" s="2" t="s">
        <v>45</v>
      </c>
      <c r="L22" s="2" t="s">
        <v>46</v>
      </c>
      <c r="M22" s="2" t="s">
        <v>46</v>
      </c>
      <c r="N22" s="2" t="s">
        <v>526</v>
      </c>
      <c r="O22" s="2" t="s">
        <v>47</v>
      </c>
      <c r="P22" s="46" t="s">
        <v>670</v>
      </c>
      <c r="Q22" s="2" t="s">
        <v>638</v>
      </c>
      <c r="R22" s="2" t="s">
        <v>397</v>
      </c>
      <c r="S22" s="5">
        <v>45894</v>
      </c>
      <c r="T22" s="5">
        <v>46259</v>
      </c>
      <c r="U22" s="2">
        <v>12</v>
      </c>
      <c r="V22" s="40" t="s">
        <v>630</v>
      </c>
      <c r="W22" s="2"/>
      <c r="X22" s="2"/>
      <c r="Y22" s="2"/>
      <c r="Z22" s="2"/>
      <c r="AA22" s="40"/>
      <c r="AB22" s="2"/>
      <c r="AC22" s="2" t="s">
        <v>805</v>
      </c>
      <c r="AD22" s="2" t="s">
        <v>507</v>
      </c>
      <c r="AE22" s="4">
        <v>40</v>
      </c>
      <c r="AF22" s="2"/>
      <c r="AG22" s="2"/>
      <c r="AH22" s="2"/>
      <c r="AI22" s="2"/>
      <c r="AJ22" s="56" t="s">
        <v>110</v>
      </c>
      <c r="AK22" s="2" t="s">
        <v>49</v>
      </c>
      <c r="AL22" s="2" t="s">
        <v>404</v>
      </c>
      <c r="AM22" s="40" t="s">
        <v>78</v>
      </c>
      <c r="AN22" s="2" t="s">
        <v>111</v>
      </c>
      <c r="AO22" s="2" t="s">
        <v>49</v>
      </c>
      <c r="AP22" s="2" t="s">
        <v>418</v>
      </c>
      <c r="AQ22" s="40" t="s">
        <v>112</v>
      </c>
      <c r="AR22" s="2"/>
      <c r="AS22" s="2"/>
      <c r="AT22" s="2"/>
      <c r="AU22" s="40"/>
      <c r="AV22" s="7">
        <v>48.4</v>
      </c>
      <c r="AW22" s="5">
        <v>46265</v>
      </c>
      <c r="AX22" s="5">
        <v>46265</v>
      </c>
      <c r="AY22" s="5">
        <v>46265</v>
      </c>
      <c r="AZ22" s="2"/>
      <c r="BA22" s="2" t="s">
        <v>51</v>
      </c>
      <c r="BB22" s="2" t="s">
        <v>52</v>
      </c>
      <c r="BC22" s="2" t="s">
        <v>398</v>
      </c>
      <c r="BD22" s="2" t="s">
        <v>397</v>
      </c>
      <c r="BE22" s="9">
        <v>0.58333333333333337</v>
      </c>
      <c r="BF22" s="4">
        <f t="shared" si="0"/>
        <v>1400309090</v>
      </c>
      <c r="BG22" s="4" t="str">
        <f t="shared" si="1"/>
        <v>EXCCL-7697964</v>
      </c>
      <c r="BH22" s="4"/>
      <c r="BI22" s="20"/>
      <c r="BJ22" s="154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 spans="1:74" x14ac:dyDescent="0.35">
      <c r="A23" s="4" t="s">
        <v>94</v>
      </c>
      <c r="B23" s="131" t="s">
        <v>883</v>
      </c>
      <c r="C23" s="19" t="s">
        <v>113</v>
      </c>
      <c r="D23" s="2" t="s">
        <v>114</v>
      </c>
      <c r="E23" s="10">
        <v>1401293681</v>
      </c>
      <c r="F23" s="4" t="s">
        <v>675</v>
      </c>
      <c r="G23" s="5">
        <v>36536</v>
      </c>
      <c r="H23" s="4">
        <f>2026-2000</f>
        <v>26</v>
      </c>
      <c r="I23" s="2" t="s">
        <v>399</v>
      </c>
      <c r="J23" s="2" t="s">
        <v>44</v>
      </c>
      <c r="K23" s="2" t="s">
        <v>45</v>
      </c>
      <c r="L23" s="2" t="s">
        <v>46</v>
      </c>
      <c r="M23" s="2" t="s">
        <v>46</v>
      </c>
      <c r="N23" s="2" t="s">
        <v>527</v>
      </c>
      <c r="O23" s="2" t="s">
        <v>47</v>
      </c>
      <c r="P23" s="46" t="s">
        <v>671</v>
      </c>
      <c r="Q23" s="2" t="s">
        <v>638</v>
      </c>
      <c r="R23" s="2" t="s">
        <v>397</v>
      </c>
      <c r="S23" s="5">
        <v>45894</v>
      </c>
      <c r="T23" s="5">
        <v>46259</v>
      </c>
      <c r="U23" s="2">
        <v>12</v>
      </c>
      <c r="V23" s="40" t="s">
        <v>630</v>
      </c>
      <c r="W23" s="2"/>
      <c r="X23" s="2"/>
      <c r="Y23" s="2"/>
      <c r="Z23" s="2"/>
      <c r="AA23" s="40"/>
      <c r="AB23" s="2"/>
      <c r="AC23" s="2" t="s">
        <v>805</v>
      </c>
      <c r="AD23" s="2" t="s">
        <v>507</v>
      </c>
      <c r="AE23" s="4">
        <v>40</v>
      </c>
      <c r="AF23" s="2"/>
      <c r="AG23" s="2"/>
      <c r="AH23" s="2"/>
      <c r="AI23" s="2"/>
      <c r="AJ23" s="56" t="s">
        <v>115</v>
      </c>
      <c r="AK23" s="2" t="s">
        <v>49</v>
      </c>
      <c r="AL23" s="2" t="s">
        <v>405</v>
      </c>
      <c r="AM23" s="40" t="s">
        <v>78</v>
      </c>
      <c r="AN23" s="2" t="s">
        <v>116</v>
      </c>
      <c r="AO23" s="2" t="s">
        <v>49</v>
      </c>
      <c r="AP23" s="2" t="s">
        <v>419</v>
      </c>
      <c r="AQ23" s="40" t="s">
        <v>117</v>
      </c>
      <c r="AR23" s="2"/>
      <c r="AS23" s="2"/>
      <c r="AT23" s="2"/>
      <c r="AU23" s="40"/>
      <c r="AV23" s="7">
        <v>48.4</v>
      </c>
      <c r="AW23" s="5">
        <v>46265</v>
      </c>
      <c r="AX23" s="5">
        <v>46265</v>
      </c>
      <c r="AY23" s="5">
        <v>46265</v>
      </c>
      <c r="AZ23" s="2"/>
      <c r="BA23" s="2" t="s">
        <v>51</v>
      </c>
      <c r="BB23" s="2" t="s">
        <v>52</v>
      </c>
      <c r="BC23" s="2" t="s">
        <v>398</v>
      </c>
      <c r="BD23" s="2" t="s">
        <v>397</v>
      </c>
      <c r="BE23" s="9">
        <v>0.58333333333333337</v>
      </c>
      <c r="BF23" s="4">
        <f t="shared" si="0"/>
        <v>1401293681</v>
      </c>
      <c r="BG23" s="4" t="str">
        <f t="shared" si="1"/>
        <v>EXCCL-3744346</v>
      </c>
      <c r="BH23" s="4"/>
      <c r="BI23" s="20"/>
      <c r="BJ23" s="154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</row>
    <row r="24" spans="1:74" x14ac:dyDescent="0.35">
      <c r="A24" s="4" t="s">
        <v>57</v>
      </c>
      <c r="B24" s="131" t="s">
        <v>884</v>
      </c>
      <c r="C24" s="19" t="s">
        <v>118</v>
      </c>
      <c r="D24" s="2" t="s">
        <v>119</v>
      </c>
      <c r="E24" s="10" t="s">
        <v>120</v>
      </c>
      <c r="F24" s="4" t="s">
        <v>676</v>
      </c>
      <c r="G24" s="5">
        <v>23231</v>
      </c>
      <c r="H24" s="4">
        <f>2026-1963</f>
        <v>63</v>
      </c>
      <c r="I24" s="2" t="s">
        <v>399</v>
      </c>
      <c r="J24" s="2" t="s">
        <v>44</v>
      </c>
      <c r="K24" s="2" t="s">
        <v>45</v>
      </c>
      <c r="L24" s="2" t="s">
        <v>46</v>
      </c>
      <c r="M24" s="2" t="s">
        <v>46</v>
      </c>
      <c r="N24" s="2" t="s">
        <v>528</v>
      </c>
      <c r="O24" s="2" t="s">
        <v>47</v>
      </c>
      <c r="P24" s="46" t="s">
        <v>672</v>
      </c>
      <c r="Q24" s="2" t="s">
        <v>638</v>
      </c>
      <c r="R24" s="2" t="s">
        <v>397</v>
      </c>
      <c r="S24" s="5">
        <v>45894</v>
      </c>
      <c r="T24" s="5">
        <v>46259</v>
      </c>
      <c r="U24" s="2">
        <v>12</v>
      </c>
      <c r="V24" s="40" t="s">
        <v>629</v>
      </c>
      <c r="W24" s="2"/>
      <c r="X24" s="2"/>
      <c r="Y24" s="2"/>
      <c r="Z24" s="2"/>
      <c r="AA24" s="40"/>
      <c r="AB24" s="2"/>
      <c r="AC24" s="2" t="s">
        <v>805</v>
      </c>
      <c r="AD24" s="2" t="s">
        <v>507</v>
      </c>
      <c r="AE24" s="4">
        <v>40</v>
      </c>
      <c r="AF24" s="2" t="s">
        <v>626</v>
      </c>
      <c r="AG24" s="2" t="s">
        <v>49</v>
      </c>
      <c r="AH24" s="2" t="s">
        <v>627</v>
      </c>
      <c r="AI24" s="2"/>
      <c r="AJ24" s="56"/>
      <c r="AK24" s="2"/>
      <c r="AL24" s="2"/>
      <c r="AM24" s="40"/>
      <c r="AN24" s="2"/>
      <c r="AO24" s="2"/>
      <c r="AP24" s="2"/>
      <c r="AQ24" s="40"/>
      <c r="AR24" s="2"/>
      <c r="AS24" s="2"/>
      <c r="AT24" s="2"/>
      <c r="AU24" s="40"/>
      <c r="AV24" s="7">
        <v>48.4</v>
      </c>
      <c r="AW24" s="5">
        <v>46265</v>
      </c>
      <c r="AX24" s="5">
        <v>46265</v>
      </c>
      <c r="AY24" s="5">
        <v>46265</v>
      </c>
      <c r="AZ24" s="2"/>
      <c r="BA24" s="2" t="s">
        <v>51</v>
      </c>
      <c r="BB24" s="2" t="s">
        <v>52</v>
      </c>
      <c r="BC24" s="2" t="s">
        <v>398</v>
      </c>
      <c r="BD24" s="2" t="s">
        <v>397</v>
      </c>
      <c r="BE24" s="9">
        <v>0.58333333333333337</v>
      </c>
      <c r="BF24" s="4" t="str">
        <f t="shared" si="0"/>
        <v>0602255887</v>
      </c>
      <c r="BG24" s="4" t="str">
        <f t="shared" si="1"/>
        <v>EXCCL-7010492</v>
      </c>
      <c r="BH24" s="4"/>
      <c r="BI24" s="20"/>
      <c r="BJ24" s="154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</row>
    <row r="25" spans="1:74" ht="15" customHeight="1" x14ac:dyDescent="0.35">
      <c r="A25" s="11" t="s">
        <v>57</v>
      </c>
      <c r="B25" s="131" t="s">
        <v>885</v>
      </c>
      <c r="C25" s="19" t="s">
        <v>121</v>
      </c>
      <c r="D25" s="12" t="s">
        <v>122</v>
      </c>
      <c r="E25" s="10">
        <v>1801662014</v>
      </c>
      <c r="F25" s="11" t="s">
        <v>681</v>
      </c>
      <c r="G25" s="13">
        <v>22367</v>
      </c>
      <c r="H25" s="11">
        <f>2026-1961</f>
        <v>65</v>
      </c>
      <c r="I25" s="2" t="s">
        <v>399</v>
      </c>
      <c r="J25" s="2" t="s">
        <v>44</v>
      </c>
      <c r="K25" s="2" t="s">
        <v>45</v>
      </c>
      <c r="L25" s="2" t="s">
        <v>46</v>
      </c>
      <c r="M25" s="2" t="s">
        <v>46</v>
      </c>
      <c r="N25" s="12" t="s">
        <v>529</v>
      </c>
      <c r="O25" s="2" t="s">
        <v>47</v>
      </c>
      <c r="P25" s="46" t="s">
        <v>677</v>
      </c>
      <c r="Q25" s="2" t="s">
        <v>638</v>
      </c>
      <c r="R25" s="2" t="s">
        <v>397</v>
      </c>
      <c r="S25" s="5">
        <v>45894</v>
      </c>
      <c r="T25" s="5">
        <v>46259</v>
      </c>
      <c r="U25" s="2">
        <v>12</v>
      </c>
      <c r="V25" s="40" t="s">
        <v>629</v>
      </c>
      <c r="AA25" s="41"/>
      <c r="AB25" s="2"/>
      <c r="AC25" s="2" t="s">
        <v>805</v>
      </c>
      <c r="AD25" s="2" t="s">
        <v>507</v>
      </c>
      <c r="AE25" s="4">
        <v>40</v>
      </c>
      <c r="AF25" s="2" t="s">
        <v>626</v>
      </c>
      <c r="AG25" s="2" t="s">
        <v>49</v>
      </c>
      <c r="AH25" s="2" t="s">
        <v>627</v>
      </c>
      <c r="AJ25" s="78"/>
      <c r="AM25" s="41"/>
      <c r="AQ25" s="41"/>
      <c r="AU25" s="41"/>
      <c r="AV25" s="7">
        <v>48.4</v>
      </c>
      <c r="AW25" s="5">
        <v>46265</v>
      </c>
      <c r="AX25" s="5">
        <v>46265</v>
      </c>
      <c r="AY25" s="5">
        <v>46265</v>
      </c>
      <c r="BA25" s="2" t="s">
        <v>51</v>
      </c>
      <c r="BB25" s="2" t="s">
        <v>52</v>
      </c>
      <c r="BC25" s="2" t="s">
        <v>398</v>
      </c>
      <c r="BD25" s="2" t="s">
        <v>397</v>
      </c>
      <c r="BE25" s="9">
        <v>0.58333333333333337</v>
      </c>
      <c r="BF25" s="4">
        <f t="shared" si="0"/>
        <v>1801662014</v>
      </c>
      <c r="BG25" s="4" t="str">
        <f t="shared" si="1"/>
        <v>EXCCL-2417978</v>
      </c>
      <c r="BH25" s="14"/>
      <c r="BI25" s="33"/>
      <c r="BJ25" s="154"/>
    </row>
    <row r="26" spans="1:74" ht="15" customHeight="1" x14ac:dyDescent="0.35">
      <c r="A26" s="11"/>
      <c r="B26" s="131" t="s">
        <v>886</v>
      </c>
      <c r="C26" s="19" t="s">
        <v>123</v>
      </c>
      <c r="D26" s="12" t="s">
        <v>124</v>
      </c>
      <c r="E26" s="10">
        <v>1400895148</v>
      </c>
      <c r="F26" s="11" t="s">
        <v>682</v>
      </c>
      <c r="G26" s="13">
        <v>32788</v>
      </c>
      <c r="H26" s="11">
        <f>2026-1989</f>
        <v>37</v>
      </c>
      <c r="I26" s="2" t="s">
        <v>399</v>
      </c>
      <c r="J26" s="2" t="s">
        <v>44</v>
      </c>
      <c r="K26" s="2" t="s">
        <v>45</v>
      </c>
      <c r="L26" s="2" t="s">
        <v>46</v>
      </c>
      <c r="M26" s="2" t="s">
        <v>46</v>
      </c>
      <c r="N26" s="12" t="s">
        <v>530</v>
      </c>
      <c r="O26" s="2" t="s">
        <v>47</v>
      </c>
      <c r="P26" s="46" t="s">
        <v>678</v>
      </c>
      <c r="Q26" s="2" t="s">
        <v>638</v>
      </c>
      <c r="R26" s="2" t="s">
        <v>397</v>
      </c>
      <c r="S26" s="5">
        <v>45894</v>
      </c>
      <c r="T26" s="5">
        <v>46259</v>
      </c>
      <c r="U26" s="2">
        <v>12</v>
      </c>
      <c r="V26" s="40" t="s">
        <v>630</v>
      </c>
      <c r="AA26" s="41"/>
      <c r="AB26" s="2"/>
      <c r="AC26" s="2" t="s">
        <v>805</v>
      </c>
      <c r="AD26" s="2" t="s">
        <v>507</v>
      </c>
      <c r="AE26" s="4">
        <v>40</v>
      </c>
      <c r="AJ26" s="21" t="s">
        <v>125</v>
      </c>
      <c r="AK26" s="12" t="s">
        <v>49</v>
      </c>
      <c r="AL26" s="12" t="s">
        <v>406</v>
      </c>
      <c r="AM26" s="42" t="s">
        <v>126</v>
      </c>
      <c r="AN26" s="12"/>
      <c r="AO26" s="12"/>
      <c r="AP26" s="12"/>
      <c r="AQ26" s="42"/>
      <c r="AR26" s="12"/>
      <c r="AS26" s="12"/>
      <c r="AT26" s="12"/>
      <c r="AU26" s="42"/>
      <c r="AV26" s="7">
        <v>48.4</v>
      </c>
      <c r="AW26" s="5">
        <v>46265</v>
      </c>
      <c r="AX26" s="5">
        <v>46265</v>
      </c>
      <c r="AY26" s="5">
        <v>46265</v>
      </c>
      <c r="BA26" s="2" t="s">
        <v>51</v>
      </c>
      <c r="BB26" s="2" t="s">
        <v>52</v>
      </c>
      <c r="BC26" s="2" t="s">
        <v>398</v>
      </c>
      <c r="BD26" s="2" t="s">
        <v>397</v>
      </c>
      <c r="BE26" s="9">
        <v>0.58333333333333337</v>
      </c>
      <c r="BF26" s="4">
        <f t="shared" si="0"/>
        <v>1400895148</v>
      </c>
      <c r="BG26" s="4" t="str">
        <f t="shared" si="1"/>
        <v>EXCCL-6670707</v>
      </c>
      <c r="BH26" s="14"/>
      <c r="BI26" s="33"/>
      <c r="BJ26" s="154"/>
    </row>
    <row r="27" spans="1:74" ht="15" customHeight="1" x14ac:dyDescent="0.35">
      <c r="A27" s="11"/>
      <c r="B27" s="131" t="s">
        <v>887</v>
      </c>
      <c r="C27" s="19" t="s">
        <v>127</v>
      </c>
      <c r="D27" s="12" t="s">
        <v>128</v>
      </c>
      <c r="E27" s="10">
        <v>1400352017</v>
      </c>
      <c r="F27" s="11" t="s">
        <v>683</v>
      </c>
      <c r="G27" s="13">
        <v>29085</v>
      </c>
      <c r="H27" s="11">
        <f>2026-1979</f>
        <v>47</v>
      </c>
      <c r="I27" s="2" t="s">
        <v>399</v>
      </c>
      <c r="J27" s="2" t="s">
        <v>44</v>
      </c>
      <c r="K27" s="2" t="s">
        <v>45</v>
      </c>
      <c r="L27" s="2" t="s">
        <v>46</v>
      </c>
      <c r="M27" s="2" t="s">
        <v>46</v>
      </c>
      <c r="N27" s="12" t="s">
        <v>531</v>
      </c>
      <c r="O27" s="2" t="s">
        <v>47</v>
      </c>
      <c r="P27" s="46" t="s">
        <v>679</v>
      </c>
      <c r="Q27" s="2" t="s">
        <v>638</v>
      </c>
      <c r="R27" s="2" t="s">
        <v>397</v>
      </c>
      <c r="S27" s="5">
        <v>45894</v>
      </c>
      <c r="T27" s="5">
        <v>46259</v>
      </c>
      <c r="U27" s="2">
        <v>12</v>
      </c>
      <c r="V27" s="40" t="s">
        <v>630</v>
      </c>
      <c r="AA27" s="41"/>
      <c r="AB27" s="2"/>
      <c r="AC27" s="2" t="s">
        <v>805</v>
      </c>
      <c r="AD27" s="2" t="s">
        <v>507</v>
      </c>
      <c r="AE27" s="4">
        <v>40</v>
      </c>
      <c r="AJ27" s="21" t="s">
        <v>81</v>
      </c>
      <c r="AK27" s="12" t="s">
        <v>49</v>
      </c>
      <c r="AL27" s="12" t="s">
        <v>46</v>
      </c>
      <c r="AM27" s="42" t="s">
        <v>85</v>
      </c>
      <c r="AN27" s="12"/>
      <c r="AO27" s="12"/>
      <c r="AP27" s="12"/>
      <c r="AQ27" s="42"/>
      <c r="AR27" s="12"/>
      <c r="AS27" s="12"/>
      <c r="AT27" s="12"/>
      <c r="AU27" s="42"/>
      <c r="AV27" s="7">
        <v>48.4</v>
      </c>
      <c r="AW27" s="5">
        <v>46265</v>
      </c>
      <c r="AX27" s="5">
        <v>46265</v>
      </c>
      <c r="AY27" s="5">
        <v>46265</v>
      </c>
      <c r="BA27" s="2" t="s">
        <v>51</v>
      </c>
      <c r="BB27" s="2" t="s">
        <v>52</v>
      </c>
      <c r="BC27" s="2" t="s">
        <v>398</v>
      </c>
      <c r="BD27" s="2" t="s">
        <v>397</v>
      </c>
      <c r="BE27" s="9">
        <v>0.58333333333333337</v>
      </c>
      <c r="BF27" s="4">
        <f t="shared" si="0"/>
        <v>1400352017</v>
      </c>
      <c r="BG27" s="4" t="str">
        <f t="shared" si="1"/>
        <v>EXCCL-4040971</v>
      </c>
      <c r="BH27" s="14"/>
      <c r="BI27" s="33"/>
      <c r="BJ27" s="154"/>
    </row>
    <row r="28" spans="1:74" ht="15" customHeight="1" x14ac:dyDescent="0.35">
      <c r="A28" s="11"/>
      <c r="B28" s="131" t="s">
        <v>888</v>
      </c>
      <c r="C28" s="96" t="s">
        <v>129</v>
      </c>
      <c r="D28" s="35" t="s">
        <v>130</v>
      </c>
      <c r="E28" s="97">
        <v>1400500938</v>
      </c>
      <c r="F28" s="37" t="s">
        <v>684</v>
      </c>
      <c r="G28" s="79">
        <v>28067</v>
      </c>
      <c r="H28" s="37">
        <f>2026-1976</f>
        <v>50</v>
      </c>
      <c r="I28" s="38" t="s">
        <v>399</v>
      </c>
      <c r="J28" s="38" t="s">
        <v>44</v>
      </c>
      <c r="K28" s="38" t="s">
        <v>45</v>
      </c>
      <c r="L28" s="38" t="s">
        <v>46</v>
      </c>
      <c r="M28" s="38" t="s">
        <v>46</v>
      </c>
      <c r="N28" s="35" t="s">
        <v>532</v>
      </c>
      <c r="O28" s="38" t="s">
        <v>47</v>
      </c>
      <c r="P28" s="75" t="s">
        <v>680</v>
      </c>
      <c r="Q28" s="38" t="s">
        <v>638</v>
      </c>
      <c r="R28" s="38" t="s">
        <v>397</v>
      </c>
      <c r="S28" s="74">
        <v>45894</v>
      </c>
      <c r="T28" s="74">
        <v>46259</v>
      </c>
      <c r="U28" s="38">
        <v>12</v>
      </c>
      <c r="V28" s="76" t="s">
        <v>630</v>
      </c>
      <c r="W28" s="80"/>
      <c r="X28" s="80"/>
      <c r="Y28" s="80"/>
      <c r="Z28" s="80"/>
      <c r="AA28" s="81"/>
      <c r="AB28" s="38"/>
      <c r="AC28" s="38" t="s">
        <v>805</v>
      </c>
      <c r="AD28" s="38" t="s">
        <v>507</v>
      </c>
      <c r="AE28" s="45">
        <v>40</v>
      </c>
      <c r="AF28" s="80"/>
      <c r="AG28" s="80"/>
      <c r="AH28" s="80"/>
      <c r="AI28" s="80"/>
      <c r="AJ28" s="34" t="s">
        <v>131</v>
      </c>
      <c r="AK28" s="35" t="s">
        <v>49</v>
      </c>
      <c r="AL28" s="35" t="s">
        <v>404</v>
      </c>
      <c r="AM28" s="82" t="s">
        <v>78</v>
      </c>
      <c r="AN28" s="35"/>
      <c r="AO28" s="35"/>
      <c r="AP28" s="35"/>
      <c r="AQ28" s="82"/>
      <c r="AR28" s="35"/>
      <c r="AS28" s="35"/>
      <c r="AT28" s="35"/>
      <c r="AU28" s="82"/>
      <c r="AV28" s="77">
        <v>48.4</v>
      </c>
      <c r="AW28" s="74">
        <v>46265</v>
      </c>
      <c r="AX28" s="74">
        <v>46265</v>
      </c>
      <c r="AY28" s="74">
        <v>46265</v>
      </c>
      <c r="AZ28" s="80"/>
      <c r="BA28" s="38" t="s">
        <v>51</v>
      </c>
      <c r="BB28" s="38" t="s">
        <v>52</v>
      </c>
      <c r="BC28" s="38" t="s">
        <v>398</v>
      </c>
      <c r="BD28" s="38" t="s">
        <v>397</v>
      </c>
      <c r="BE28" s="99">
        <v>0.58333333333333337</v>
      </c>
      <c r="BF28" s="45">
        <f t="shared" si="0"/>
        <v>1400500938</v>
      </c>
      <c r="BG28" s="45" t="str">
        <f t="shared" si="1"/>
        <v>EXCCL-1428611</v>
      </c>
      <c r="BH28" s="101"/>
      <c r="BI28" s="102"/>
      <c r="BJ28" s="154"/>
    </row>
    <row r="29" spans="1:74" ht="15" customHeight="1" x14ac:dyDescent="0.35">
      <c r="A29" s="11"/>
      <c r="B29" s="131" t="s">
        <v>889</v>
      </c>
      <c r="C29" s="19" t="s">
        <v>132</v>
      </c>
      <c r="D29" s="12" t="s">
        <v>133</v>
      </c>
      <c r="E29" s="10">
        <v>1400833313</v>
      </c>
      <c r="F29" s="11" t="s">
        <v>689</v>
      </c>
      <c r="G29" s="13">
        <v>33768</v>
      </c>
      <c r="H29" s="11">
        <f>2026-1972</f>
        <v>54</v>
      </c>
      <c r="I29" s="2" t="s">
        <v>399</v>
      </c>
      <c r="J29" s="2" t="s">
        <v>44</v>
      </c>
      <c r="K29" s="2" t="s">
        <v>45</v>
      </c>
      <c r="L29" s="2" t="s">
        <v>46</v>
      </c>
      <c r="M29" s="2" t="s">
        <v>46</v>
      </c>
      <c r="N29" s="12" t="s">
        <v>533</v>
      </c>
      <c r="O29" s="2" t="s">
        <v>47</v>
      </c>
      <c r="P29" s="46" t="s">
        <v>685</v>
      </c>
      <c r="Q29" s="2" t="s">
        <v>638</v>
      </c>
      <c r="R29" s="2" t="s">
        <v>397</v>
      </c>
      <c r="S29" s="5">
        <v>45894</v>
      </c>
      <c r="T29" s="5">
        <v>46259</v>
      </c>
      <c r="U29" s="2">
        <v>12</v>
      </c>
      <c r="V29" s="40" t="s">
        <v>630</v>
      </c>
      <c r="AA29" s="41"/>
      <c r="AB29" s="2"/>
      <c r="AC29" s="2" t="s">
        <v>805</v>
      </c>
      <c r="AD29" s="2" t="s">
        <v>507</v>
      </c>
      <c r="AE29" s="4">
        <v>40</v>
      </c>
      <c r="AJ29" s="21" t="s">
        <v>134</v>
      </c>
      <c r="AK29" s="12" t="s">
        <v>49</v>
      </c>
      <c r="AL29" s="12" t="s">
        <v>46</v>
      </c>
      <c r="AM29" s="42" t="s">
        <v>135</v>
      </c>
      <c r="AN29" s="12"/>
      <c r="AO29" s="12"/>
      <c r="AP29" s="12"/>
      <c r="AQ29" s="42"/>
      <c r="AR29" s="12"/>
      <c r="AS29" s="12"/>
      <c r="AT29" s="12"/>
      <c r="AU29" s="42"/>
      <c r="AV29" s="7">
        <v>48.4</v>
      </c>
      <c r="AW29" s="13">
        <v>46265</v>
      </c>
      <c r="AX29" s="13">
        <v>46265</v>
      </c>
      <c r="AY29" s="13">
        <v>46265</v>
      </c>
      <c r="BA29" s="2" t="s">
        <v>51</v>
      </c>
      <c r="BB29" s="2" t="s">
        <v>52</v>
      </c>
      <c r="BC29" s="2" t="s">
        <v>398</v>
      </c>
      <c r="BD29" s="2" t="s">
        <v>397</v>
      </c>
      <c r="BE29" s="43">
        <v>0.66666666666666663</v>
      </c>
      <c r="BF29" s="4">
        <f t="shared" si="0"/>
        <v>1400833313</v>
      </c>
      <c r="BG29" s="4" t="str">
        <f t="shared" si="1"/>
        <v>EXCCL-9762032</v>
      </c>
      <c r="BH29" s="14"/>
      <c r="BI29" s="33"/>
      <c r="BJ29" s="154"/>
    </row>
    <row r="30" spans="1:74" ht="15" customHeight="1" x14ac:dyDescent="0.35">
      <c r="A30" s="11"/>
      <c r="B30" s="131" t="s">
        <v>890</v>
      </c>
      <c r="C30" s="19" t="s">
        <v>136</v>
      </c>
      <c r="D30" s="12" t="s">
        <v>137</v>
      </c>
      <c r="E30" s="10">
        <v>1400524730</v>
      </c>
      <c r="F30" s="11" t="s">
        <v>690</v>
      </c>
      <c r="G30" s="13">
        <v>27949</v>
      </c>
      <c r="H30" s="11">
        <f>2026-1976</f>
        <v>50</v>
      </c>
      <c r="I30" s="2" t="s">
        <v>399</v>
      </c>
      <c r="J30" s="2" t="s">
        <v>44</v>
      </c>
      <c r="K30" s="2" t="s">
        <v>45</v>
      </c>
      <c r="L30" s="2" t="s">
        <v>46</v>
      </c>
      <c r="M30" s="2" t="s">
        <v>46</v>
      </c>
      <c r="N30" s="12" t="s">
        <v>534</v>
      </c>
      <c r="O30" s="2" t="s">
        <v>47</v>
      </c>
      <c r="P30" s="46" t="s">
        <v>686</v>
      </c>
      <c r="Q30" s="2" t="s">
        <v>638</v>
      </c>
      <c r="R30" s="2" t="s">
        <v>397</v>
      </c>
      <c r="S30" s="5">
        <v>45894</v>
      </c>
      <c r="T30" s="5">
        <v>46259</v>
      </c>
      <c r="U30" s="2">
        <v>12</v>
      </c>
      <c r="V30" s="40" t="s">
        <v>630</v>
      </c>
      <c r="AA30" s="41"/>
      <c r="AB30" s="2"/>
      <c r="AC30" s="2" t="s">
        <v>805</v>
      </c>
      <c r="AD30" s="2" t="s">
        <v>507</v>
      </c>
      <c r="AE30" s="4">
        <v>40</v>
      </c>
      <c r="AJ30" s="21" t="s">
        <v>131</v>
      </c>
      <c r="AK30" s="12" t="s">
        <v>49</v>
      </c>
      <c r="AL30" s="12" t="s">
        <v>404</v>
      </c>
      <c r="AM30" s="42" t="s">
        <v>78</v>
      </c>
      <c r="AN30" s="12"/>
      <c r="AO30" s="12"/>
      <c r="AP30" s="12"/>
      <c r="AQ30" s="42"/>
      <c r="AR30" s="12"/>
      <c r="AS30" s="12"/>
      <c r="AT30" s="12"/>
      <c r="AU30" s="42"/>
      <c r="AV30" s="7">
        <v>48.4</v>
      </c>
      <c r="AW30" s="13">
        <v>46265</v>
      </c>
      <c r="AX30" s="13">
        <v>46265</v>
      </c>
      <c r="AY30" s="13">
        <v>46265</v>
      </c>
      <c r="BA30" s="2" t="s">
        <v>51</v>
      </c>
      <c r="BB30" s="2" t="s">
        <v>52</v>
      </c>
      <c r="BC30" s="2" t="s">
        <v>398</v>
      </c>
      <c r="BD30" s="2" t="s">
        <v>397</v>
      </c>
      <c r="BE30" s="43">
        <v>0.66666666666666663</v>
      </c>
      <c r="BF30" s="4">
        <f t="shared" si="0"/>
        <v>1400524730</v>
      </c>
      <c r="BG30" s="4" t="str">
        <f t="shared" si="1"/>
        <v>EXCCL-1130575</v>
      </c>
      <c r="BH30" s="14"/>
      <c r="BI30" s="33"/>
      <c r="BJ30" s="154"/>
    </row>
    <row r="31" spans="1:74" ht="15" customHeight="1" x14ac:dyDescent="0.35">
      <c r="A31" s="11" t="s">
        <v>57</v>
      </c>
      <c r="B31" s="131" t="s">
        <v>891</v>
      </c>
      <c r="C31" s="19" t="s">
        <v>138</v>
      </c>
      <c r="D31" s="12" t="s">
        <v>139</v>
      </c>
      <c r="E31" s="10">
        <v>1400682306</v>
      </c>
      <c r="F31" s="11" t="s">
        <v>691</v>
      </c>
      <c r="G31" s="13">
        <v>29897</v>
      </c>
      <c r="H31" s="11">
        <f>2026-1981</f>
        <v>45</v>
      </c>
      <c r="I31" s="2" t="s">
        <v>399</v>
      </c>
      <c r="J31" s="2" t="s">
        <v>44</v>
      </c>
      <c r="K31" s="2" t="s">
        <v>45</v>
      </c>
      <c r="L31" s="2" t="s">
        <v>46</v>
      </c>
      <c r="M31" s="2" t="s">
        <v>46</v>
      </c>
      <c r="N31" s="12" t="s">
        <v>535</v>
      </c>
      <c r="O31" s="2" t="s">
        <v>47</v>
      </c>
      <c r="P31" s="46" t="s">
        <v>687</v>
      </c>
      <c r="Q31" s="2" t="s">
        <v>638</v>
      </c>
      <c r="R31" s="2" t="s">
        <v>397</v>
      </c>
      <c r="S31" s="5">
        <v>45894</v>
      </c>
      <c r="T31" s="5">
        <v>46259</v>
      </c>
      <c r="U31" s="2">
        <v>12</v>
      </c>
      <c r="V31" s="40" t="s">
        <v>630</v>
      </c>
      <c r="AA31" s="41"/>
      <c r="AB31" s="2"/>
      <c r="AC31" s="2" t="s">
        <v>805</v>
      </c>
      <c r="AD31" s="2" t="s">
        <v>507</v>
      </c>
      <c r="AE31" s="4">
        <v>40</v>
      </c>
      <c r="AF31" s="2" t="s">
        <v>626</v>
      </c>
      <c r="AG31" s="2" t="s">
        <v>49</v>
      </c>
      <c r="AH31" s="2" t="s">
        <v>627</v>
      </c>
      <c r="AJ31" s="21"/>
      <c r="AK31" s="12"/>
      <c r="AL31" s="12"/>
      <c r="AM31" s="42"/>
      <c r="AN31" s="12"/>
      <c r="AO31" s="12"/>
      <c r="AP31" s="12"/>
      <c r="AQ31" s="42"/>
      <c r="AR31" s="12"/>
      <c r="AS31" s="12"/>
      <c r="AT31" s="12"/>
      <c r="AU31" s="42"/>
      <c r="AV31" s="7">
        <v>48.4</v>
      </c>
      <c r="AW31" s="13">
        <v>46265</v>
      </c>
      <c r="AX31" s="13">
        <v>46265</v>
      </c>
      <c r="AY31" s="13">
        <v>46265</v>
      </c>
      <c r="BA31" s="2" t="s">
        <v>51</v>
      </c>
      <c r="BB31" s="2" t="s">
        <v>52</v>
      </c>
      <c r="BC31" s="2" t="s">
        <v>398</v>
      </c>
      <c r="BD31" s="2" t="s">
        <v>397</v>
      </c>
      <c r="BE31" s="43">
        <v>0.66666666666666663</v>
      </c>
      <c r="BF31" s="4">
        <f t="shared" si="0"/>
        <v>1400682306</v>
      </c>
      <c r="BG31" s="4" t="str">
        <f t="shared" si="1"/>
        <v>EXCCL-1029980</v>
      </c>
      <c r="BH31" s="14"/>
      <c r="BI31" s="33"/>
      <c r="BJ31" s="154"/>
    </row>
    <row r="32" spans="1:74" ht="15" customHeight="1" x14ac:dyDescent="0.35">
      <c r="A32" s="11" t="s">
        <v>57</v>
      </c>
      <c r="B32" s="131" t="s">
        <v>892</v>
      </c>
      <c r="C32" s="19" t="s">
        <v>140</v>
      </c>
      <c r="D32" s="12" t="s">
        <v>141</v>
      </c>
      <c r="E32" s="10">
        <v>1400536965</v>
      </c>
      <c r="F32" s="11" t="s">
        <v>692</v>
      </c>
      <c r="G32" s="13">
        <v>28810</v>
      </c>
      <c r="H32" s="11">
        <f>2026-1978</f>
        <v>48</v>
      </c>
      <c r="I32" s="2" t="s">
        <v>399</v>
      </c>
      <c r="J32" s="2" t="s">
        <v>44</v>
      </c>
      <c r="K32" s="2" t="s">
        <v>45</v>
      </c>
      <c r="L32" s="2" t="s">
        <v>46</v>
      </c>
      <c r="M32" s="2" t="s">
        <v>46</v>
      </c>
      <c r="N32" s="12" t="s">
        <v>536</v>
      </c>
      <c r="O32" s="2" t="s">
        <v>47</v>
      </c>
      <c r="P32" s="46" t="s">
        <v>688</v>
      </c>
      <c r="Q32" s="2" t="s">
        <v>638</v>
      </c>
      <c r="R32" s="2" t="s">
        <v>397</v>
      </c>
      <c r="S32" s="5">
        <v>45894</v>
      </c>
      <c r="T32" s="5">
        <v>46259</v>
      </c>
      <c r="U32" s="2">
        <v>12</v>
      </c>
      <c r="V32" s="40" t="s">
        <v>629</v>
      </c>
      <c r="AA32" s="41"/>
      <c r="AB32" s="2"/>
      <c r="AC32" s="2" t="s">
        <v>805</v>
      </c>
      <c r="AD32" s="2" t="s">
        <v>507</v>
      </c>
      <c r="AE32" s="4">
        <v>40</v>
      </c>
      <c r="AF32" s="2" t="s">
        <v>626</v>
      </c>
      <c r="AG32" s="2" t="s">
        <v>49</v>
      </c>
      <c r="AH32" s="2" t="s">
        <v>627</v>
      </c>
      <c r="AJ32" s="21"/>
      <c r="AK32" s="12"/>
      <c r="AL32" s="12"/>
      <c r="AM32" s="42"/>
      <c r="AN32" s="12"/>
      <c r="AO32" s="12"/>
      <c r="AP32" s="12"/>
      <c r="AQ32" s="42"/>
      <c r="AR32" s="12"/>
      <c r="AS32" s="12"/>
      <c r="AT32" s="12"/>
      <c r="AU32" s="42"/>
      <c r="AV32" s="7">
        <v>48.4</v>
      </c>
      <c r="AW32" s="13">
        <v>46265</v>
      </c>
      <c r="AX32" s="13">
        <v>46265</v>
      </c>
      <c r="AY32" s="13">
        <v>46265</v>
      </c>
      <c r="BA32" s="2" t="s">
        <v>51</v>
      </c>
      <c r="BB32" s="2" t="s">
        <v>52</v>
      </c>
      <c r="BC32" s="2" t="s">
        <v>398</v>
      </c>
      <c r="BD32" s="2" t="s">
        <v>397</v>
      </c>
      <c r="BE32" s="43">
        <v>0.66666666666666663</v>
      </c>
      <c r="BF32" s="4">
        <f t="shared" si="0"/>
        <v>1400536965</v>
      </c>
      <c r="BG32" s="4" t="str">
        <f t="shared" si="1"/>
        <v>EXCCL-940483</v>
      </c>
      <c r="BH32" s="14"/>
      <c r="BI32" s="33"/>
      <c r="BJ32" s="154"/>
    </row>
    <row r="33" spans="1:62" ht="15" customHeight="1" x14ac:dyDescent="0.35">
      <c r="A33" s="11"/>
      <c r="B33" s="131" t="s">
        <v>893</v>
      </c>
      <c r="C33" s="19" t="s">
        <v>142</v>
      </c>
      <c r="D33" s="12" t="s">
        <v>143</v>
      </c>
      <c r="E33" s="10">
        <v>1600758401</v>
      </c>
      <c r="F33" s="11" t="s">
        <v>693</v>
      </c>
      <c r="G33" s="13">
        <v>33003</v>
      </c>
      <c r="H33" s="11">
        <f>2026-1990</f>
        <v>36</v>
      </c>
      <c r="I33" s="2" t="s">
        <v>399</v>
      </c>
      <c r="J33" s="2" t="s">
        <v>44</v>
      </c>
      <c r="K33" s="2" t="s">
        <v>45</v>
      </c>
      <c r="L33" s="2" t="s">
        <v>46</v>
      </c>
      <c r="M33" s="2" t="s">
        <v>46</v>
      </c>
      <c r="N33" s="12" t="s">
        <v>537</v>
      </c>
      <c r="O33" s="2" t="s">
        <v>47</v>
      </c>
      <c r="P33" s="2" t="s">
        <v>47</v>
      </c>
      <c r="Q33" s="2" t="s">
        <v>638</v>
      </c>
      <c r="R33" s="2" t="s">
        <v>397</v>
      </c>
      <c r="S33" s="5">
        <v>45894</v>
      </c>
      <c r="T33" s="5">
        <v>46259</v>
      </c>
      <c r="U33" s="2">
        <v>12</v>
      </c>
      <c r="V33" s="40" t="s">
        <v>630</v>
      </c>
      <c r="AA33" s="41"/>
      <c r="AB33" s="2"/>
      <c r="AC33" s="2" t="s">
        <v>805</v>
      </c>
      <c r="AD33" s="2" t="s">
        <v>507</v>
      </c>
      <c r="AE33" s="4">
        <v>40</v>
      </c>
      <c r="AJ33" s="21" t="s">
        <v>144</v>
      </c>
      <c r="AK33" s="12" t="s">
        <v>49</v>
      </c>
      <c r="AL33" s="12" t="s">
        <v>407</v>
      </c>
      <c r="AM33" s="42" t="s">
        <v>78</v>
      </c>
      <c r="AN33" s="12"/>
      <c r="AO33" s="12"/>
      <c r="AP33" s="12"/>
      <c r="AQ33" s="42"/>
      <c r="AR33" s="12"/>
      <c r="AS33" s="12"/>
      <c r="AT33" s="12"/>
      <c r="AU33" s="42"/>
      <c r="AV33" s="7">
        <v>48.4</v>
      </c>
      <c r="AW33" s="13">
        <v>46265</v>
      </c>
      <c r="AX33" s="13">
        <v>46265</v>
      </c>
      <c r="AY33" s="13">
        <v>46265</v>
      </c>
      <c r="BA33" s="2" t="s">
        <v>51</v>
      </c>
      <c r="BB33" s="2" t="s">
        <v>52</v>
      </c>
      <c r="BC33" s="2" t="s">
        <v>398</v>
      </c>
      <c r="BD33" s="2" t="s">
        <v>397</v>
      </c>
      <c r="BE33" s="43">
        <v>0.66666666666666663</v>
      </c>
      <c r="BF33" s="4">
        <f t="shared" si="0"/>
        <v>1600758401</v>
      </c>
      <c r="BG33" s="4" t="str">
        <f t="shared" si="1"/>
        <v>EXCCL-7723581</v>
      </c>
      <c r="BH33" s="14"/>
      <c r="BI33" s="33"/>
      <c r="BJ33" s="154"/>
    </row>
    <row r="34" spans="1:62" ht="15" customHeight="1" x14ac:dyDescent="0.35">
      <c r="A34" s="11"/>
      <c r="B34" s="131" t="s">
        <v>894</v>
      </c>
      <c r="C34" s="19" t="s">
        <v>145</v>
      </c>
      <c r="D34" s="12" t="s">
        <v>146</v>
      </c>
      <c r="E34" s="10">
        <v>1401474661</v>
      </c>
      <c r="F34" s="11" t="s">
        <v>698</v>
      </c>
      <c r="G34" s="13">
        <v>37508</v>
      </c>
      <c r="H34" s="11">
        <f>2026-2002</f>
        <v>24</v>
      </c>
      <c r="I34" s="2" t="s">
        <v>399</v>
      </c>
      <c r="J34" s="2" t="s">
        <v>44</v>
      </c>
      <c r="K34" s="2" t="s">
        <v>45</v>
      </c>
      <c r="L34" s="2" t="s">
        <v>46</v>
      </c>
      <c r="M34" s="2" t="s">
        <v>46</v>
      </c>
      <c r="N34" s="12" t="s">
        <v>538</v>
      </c>
      <c r="O34" s="2" t="s">
        <v>47</v>
      </c>
      <c r="P34" s="2" t="s">
        <v>710</v>
      </c>
      <c r="Q34" s="2" t="s">
        <v>638</v>
      </c>
      <c r="R34" s="2" t="s">
        <v>397</v>
      </c>
      <c r="S34" s="5">
        <v>45894</v>
      </c>
      <c r="T34" s="5">
        <v>46259</v>
      </c>
      <c r="U34" s="2">
        <v>12</v>
      </c>
      <c r="V34" s="40" t="s">
        <v>630</v>
      </c>
      <c r="AA34" s="41"/>
      <c r="AB34" s="2"/>
      <c r="AC34" s="2" t="s">
        <v>805</v>
      </c>
      <c r="AD34" s="2" t="s">
        <v>507</v>
      </c>
      <c r="AE34" s="4">
        <v>40</v>
      </c>
      <c r="AJ34" s="21" t="s">
        <v>448</v>
      </c>
      <c r="AK34" s="12" t="s">
        <v>49</v>
      </c>
      <c r="AL34" s="12" t="s">
        <v>420</v>
      </c>
      <c r="AM34" s="42" t="s">
        <v>78</v>
      </c>
      <c r="AN34" s="12"/>
      <c r="AO34" s="12"/>
      <c r="AP34" s="12"/>
      <c r="AQ34" s="42"/>
      <c r="AR34" s="12"/>
      <c r="AS34" s="12"/>
      <c r="AT34" s="12"/>
      <c r="AU34" s="42"/>
      <c r="AV34" s="7">
        <v>48.4</v>
      </c>
      <c r="AW34" s="13">
        <v>46265</v>
      </c>
      <c r="AX34" s="13">
        <v>46265</v>
      </c>
      <c r="AY34" s="13">
        <v>46265</v>
      </c>
      <c r="BA34" s="2" t="s">
        <v>51</v>
      </c>
      <c r="BB34" s="2" t="s">
        <v>52</v>
      </c>
      <c r="BC34" s="2" t="s">
        <v>398</v>
      </c>
      <c r="BD34" s="2" t="s">
        <v>397</v>
      </c>
      <c r="BE34" s="43">
        <v>0.66666666666666663</v>
      </c>
      <c r="BF34" s="4">
        <f t="shared" si="0"/>
        <v>1401474661</v>
      </c>
      <c r="BG34" s="4" t="str">
        <f t="shared" si="1"/>
        <v>EXCCL-3240870</v>
      </c>
      <c r="BH34" s="14"/>
      <c r="BI34" s="33"/>
      <c r="BJ34" s="154"/>
    </row>
    <row r="35" spans="1:62" ht="15" customHeight="1" x14ac:dyDescent="0.35">
      <c r="A35" s="11"/>
      <c r="B35" s="131" t="s">
        <v>895</v>
      </c>
      <c r="C35" s="19" t="s">
        <v>147</v>
      </c>
      <c r="D35" s="12" t="s">
        <v>148</v>
      </c>
      <c r="E35" s="10" t="s">
        <v>149</v>
      </c>
      <c r="F35" s="11" t="s">
        <v>699</v>
      </c>
      <c r="G35" s="13">
        <v>38653</v>
      </c>
      <c r="H35" s="11">
        <f>2026-2005</f>
        <v>21</v>
      </c>
      <c r="I35" s="2" t="s">
        <v>399</v>
      </c>
      <c r="J35" s="2" t="s">
        <v>44</v>
      </c>
      <c r="K35" s="2" t="s">
        <v>45</v>
      </c>
      <c r="L35" s="2" t="s">
        <v>46</v>
      </c>
      <c r="M35" s="2" t="s">
        <v>46</v>
      </c>
      <c r="N35" s="12" t="s">
        <v>539</v>
      </c>
      <c r="O35" s="2" t="s">
        <v>47</v>
      </c>
      <c r="P35" s="46" t="s">
        <v>694</v>
      </c>
      <c r="Q35" s="2" t="s">
        <v>638</v>
      </c>
      <c r="R35" s="2" t="s">
        <v>397</v>
      </c>
      <c r="S35" s="5">
        <v>45894</v>
      </c>
      <c r="T35" s="5">
        <v>46259</v>
      </c>
      <c r="U35" s="2">
        <v>12</v>
      </c>
      <c r="V35" s="40" t="s">
        <v>629</v>
      </c>
      <c r="AA35" s="41"/>
      <c r="AB35" s="2"/>
      <c r="AC35" s="2" t="s">
        <v>805</v>
      </c>
      <c r="AD35" s="2" t="s">
        <v>507</v>
      </c>
      <c r="AE35" s="4">
        <v>40</v>
      </c>
      <c r="AJ35" s="21" t="s">
        <v>449</v>
      </c>
      <c r="AK35" s="12" t="s">
        <v>49</v>
      </c>
      <c r="AL35" s="12" t="s">
        <v>46</v>
      </c>
      <c r="AM35" s="42" t="s">
        <v>78</v>
      </c>
      <c r="AN35" s="12"/>
      <c r="AO35" s="12"/>
      <c r="AP35" s="12"/>
      <c r="AQ35" s="42"/>
      <c r="AR35" s="12"/>
      <c r="AS35" s="12"/>
      <c r="AT35" s="12"/>
      <c r="AU35" s="42"/>
      <c r="AV35" s="7">
        <v>48.4</v>
      </c>
      <c r="AW35" s="13">
        <v>46265</v>
      </c>
      <c r="AX35" s="13">
        <v>46265</v>
      </c>
      <c r="AY35" s="13">
        <v>46265</v>
      </c>
      <c r="BA35" s="2" t="s">
        <v>51</v>
      </c>
      <c r="BB35" s="2" t="s">
        <v>52</v>
      </c>
      <c r="BC35" s="2" t="s">
        <v>398</v>
      </c>
      <c r="BD35" s="2" t="s">
        <v>397</v>
      </c>
      <c r="BE35" s="43">
        <v>0.66666666666666663</v>
      </c>
      <c r="BF35" s="4" t="str">
        <f t="shared" ref="BF35:BG64" si="2">E35</f>
        <v>1400981419</v>
      </c>
      <c r="BG35" s="4" t="str">
        <f t="shared" si="2"/>
        <v>EXCCL-7354445</v>
      </c>
      <c r="BH35" s="14"/>
      <c r="BI35" s="33"/>
      <c r="BJ35" s="154"/>
    </row>
    <row r="36" spans="1:62" ht="15" customHeight="1" x14ac:dyDescent="0.35">
      <c r="A36" s="11"/>
      <c r="B36" s="131" t="s">
        <v>896</v>
      </c>
      <c r="C36" s="19" t="s">
        <v>150</v>
      </c>
      <c r="D36" s="12" t="s">
        <v>151</v>
      </c>
      <c r="E36" s="10">
        <v>1401002207</v>
      </c>
      <c r="F36" s="11" t="s">
        <v>700</v>
      </c>
      <c r="G36" s="13">
        <v>33906</v>
      </c>
      <c r="H36" s="11">
        <f>2026-1992</f>
        <v>34</v>
      </c>
      <c r="I36" s="2" t="s">
        <v>399</v>
      </c>
      <c r="J36" s="2" t="s">
        <v>44</v>
      </c>
      <c r="K36" s="2" t="s">
        <v>45</v>
      </c>
      <c r="L36" s="2" t="s">
        <v>46</v>
      </c>
      <c r="M36" s="2" t="s">
        <v>46</v>
      </c>
      <c r="N36" s="12" t="s">
        <v>540</v>
      </c>
      <c r="O36" s="2" t="s">
        <v>47</v>
      </c>
      <c r="P36" s="46" t="s">
        <v>695</v>
      </c>
      <c r="Q36" s="2" t="s">
        <v>638</v>
      </c>
      <c r="R36" s="2" t="s">
        <v>397</v>
      </c>
      <c r="S36" s="5">
        <v>45894</v>
      </c>
      <c r="T36" s="5">
        <v>46259</v>
      </c>
      <c r="U36" s="2">
        <v>12</v>
      </c>
      <c r="V36" s="40" t="s">
        <v>630</v>
      </c>
      <c r="AA36" s="41"/>
      <c r="AB36" s="2"/>
      <c r="AC36" s="2" t="s">
        <v>805</v>
      </c>
      <c r="AD36" s="2" t="s">
        <v>507</v>
      </c>
      <c r="AE36" s="4">
        <v>40</v>
      </c>
      <c r="AJ36" s="21" t="s">
        <v>110</v>
      </c>
      <c r="AK36" s="12" t="s">
        <v>49</v>
      </c>
      <c r="AL36" s="12" t="s">
        <v>404</v>
      </c>
      <c r="AM36" s="42" t="s">
        <v>50</v>
      </c>
      <c r="AN36" s="12"/>
      <c r="AO36" s="12"/>
      <c r="AP36" s="12"/>
      <c r="AQ36" s="42"/>
      <c r="AR36" s="12"/>
      <c r="AS36" s="12"/>
      <c r="AT36" s="12"/>
      <c r="AU36" s="42"/>
      <c r="AV36" s="7">
        <v>48.4</v>
      </c>
      <c r="AW36" s="13">
        <v>46265</v>
      </c>
      <c r="AX36" s="13">
        <v>46265</v>
      </c>
      <c r="AY36" s="13">
        <v>46265</v>
      </c>
      <c r="BA36" s="2" t="s">
        <v>51</v>
      </c>
      <c r="BB36" s="2" t="s">
        <v>52</v>
      </c>
      <c r="BC36" s="2" t="s">
        <v>398</v>
      </c>
      <c r="BD36" s="2" t="s">
        <v>397</v>
      </c>
      <c r="BE36" s="43">
        <v>0.66666666666666663</v>
      </c>
      <c r="BF36" s="4">
        <f t="shared" si="2"/>
        <v>1401002207</v>
      </c>
      <c r="BG36" s="4" t="str">
        <f t="shared" si="2"/>
        <v>EXCCL-2662414</v>
      </c>
      <c r="BH36" s="14"/>
      <c r="BI36" s="33"/>
      <c r="BJ36" s="154"/>
    </row>
    <row r="37" spans="1:62" ht="15" customHeight="1" x14ac:dyDescent="0.35">
      <c r="A37" s="11"/>
      <c r="B37" s="131" t="s">
        <v>897</v>
      </c>
      <c r="C37" s="19" t="s">
        <v>152</v>
      </c>
      <c r="D37" s="12" t="s">
        <v>153</v>
      </c>
      <c r="E37" s="10">
        <v>1400730188</v>
      </c>
      <c r="F37" s="11" t="s">
        <v>701</v>
      </c>
      <c r="G37" s="13">
        <v>31925</v>
      </c>
      <c r="H37" s="11">
        <f>2026-1987</f>
        <v>39</v>
      </c>
      <c r="I37" s="2" t="s">
        <v>399</v>
      </c>
      <c r="J37" s="2" t="s">
        <v>44</v>
      </c>
      <c r="K37" s="2" t="s">
        <v>45</v>
      </c>
      <c r="L37" s="2" t="s">
        <v>46</v>
      </c>
      <c r="M37" s="2" t="s">
        <v>46</v>
      </c>
      <c r="N37" s="12" t="s">
        <v>541</v>
      </c>
      <c r="O37" s="2" t="s">
        <v>47</v>
      </c>
      <c r="P37" s="46" t="s">
        <v>697</v>
      </c>
      <c r="Q37" s="2" t="s">
        <v>638</v>
      </c>
      <c r="R37" s="2" t="s">
        <v>397</v>
      </c>
      <c r="S37" s="5">
        <v>45894</v>
      </c>
      <c r="T37" s="5">
        <v>46259</v>
      </c>
      <c r="U37" s="2">
        <v>12</v>
      </c>
      <c r="V37" s="40" t="s">
        <v>630</v>
      </c>
      <c r="AA37" s="41"/>
      <c r="AB37" s="2"/>
      <c r="AC37" s="2" t="s">
        <v>805</v>
      </c>
      <c r="AD37" s="2" t="s">
        <v>507</v>
      </c>
      <c r="AE37" s="4">
        <v>40</v>
      </c>
      <c r="AJ37" s="21" t="s">
        <v>125</v>
      </c>
      <c r="AK37" s="12" t="s">
        <v>49</v>
      </c>
      <c r="AL37" s="12" t="s">
        <v>408</v>
      </c>
      <c r="AM37" s="42" t="s">
        <v>126</v>
      </c>
      <c r="AN37" s="12"/>
      <c r="AO37" s="12"/>
      <c r="AP37" s="12"/>
      <c r="AQ37" s="42"/>
      <c r="AR37" s="12"/>
      <c r="AS37" s="12"/>
      <c r="AT37" s="12"/>
      <c r="AU37" s="42"/>
      <c r="AV37" s="7">
        <v>48.4</v>
      </c>
      <c r="AW37" s="13">
        <v>46265</v>
      </c>
      <c r="AX37" s="13">
        <v>46265</v>
      </c>
      <c r="AY37" s="13">
        <v>46265</v>
      </c>
      <c r="BA37" s="2" t="s">
        <v>51</v>
      </c>
      <c r="BB37" s="2" t="s">
        <v>52</v>
      </c>
      <c r="BC37" s="2" t="s">
        <v>398</v>
      </c>
      <c r="BD37" s="2" t="s">
        <v>397</v>
      </c>
      <c r="BE37" s="43">
        <v>0.66666666666666663</v>
      </c>
      <c r="BF37" s="4">
        <f t="shared" si="2"/>
        <v>1400730188</v>
      </c>
      <c r="BG37" s="4" t="str">
        <f t="shared" si="2"/>
        <v>EXCCL-1235085</v>
      </c>
      <c r="BH37" s="14"/>
      <c r="BI37" s="33"/>
      <c r="BJ37" s="154"/>
    </row>
    <row r="38" spans="1:62" ht="15" customHeight="1" x14ac:dyDescent="0.35">
      <c r="A38" s="11" t="s">
        <v>57</v>
      </c>
      <c r="B38" s="131" t="s">
        <v>898</v>
      </c>
      <c r="C38" s="19" t="s">
        <v>154</v>
      </c>
      <c r="D38" s="12" t="s">
        <v>155</v>
      </c>
      <c r="E38" s="10">
        <v>1723622567</v>
      </c>
      <c r="F38" s="11" t="s">
        <v>702</v>
      </c>
      <c r="G38" s="13">
        <v>31951</v>
      </c>
      <c r="H38" s="11">
        <f>2026-1987</f>
        <v>39</v>
      </c>
      <c r="I38" s="2" t="s">
        <v>399</v>
      </c>
      <c r="J38" s="2" t="s">
        <v>44</v>
      </c>
      <c r="K38" s="2" t="s">
        <v>45</v>
      </c>
      <c r="L38" s="2" t="s">
        <v>46</v>
      </c>
      <c r="M38" s="2" t="s">
        <v>46</v>
      </c>
      <c r="N38" s="12" t="s">
        <v>542</v>
      </c>
      <c r="O38" s="2" t="s">
        <v>47</v>
      </c>
      <c r="P38" s="46" t="s">
        <v>696</v>
      </c>
      <c r="Q38" s="2" t="s">
        <v>638</v>
      </c>
      <c r="R38" s="2" t="s">
        <v>397</v>
      </c>
      <c r="S38" s="5">
        <v>45894</v>
      </c>
      <c r="T38" s="5">
        <v>46259</v>
      </c>
      <c r="U38" s="2">
        <v>12</v>
      </c>
      <c r="V38" s="40" t="s">
        <v>629</v>
      </c>
      <c r="AA38" s="41"/>
      <c r="AB38" s="2"/>
      <c r="AC38" s="2" t="s">
        <v>805</v>
      </c>
      <c r="AD38" s="2" t="s">
        <v>507</v>
      </c>
      <c r="AE38" s="4">
        <v>40</v>
      </c>
      <c r="AF38" s="2" t="s">
        <v>626</v>
      </c>
      <c r="AG38" s="2" t="s">
        <v>49</v>
      </c>
      <c r="AH38" s="2" t="s">
        <v>627</v>
      </c>
      <c r="AJ38" s="21"/>
      <c r="AK38" s="12"/>
      <c r="AL38" s="12"/>
      <c r="AM38" s="42"/>
      <c r="AN38" s="12"/>
      <c r="AO38" s="12"/>
      <c r="AP38" s="12"/>
      <c r="AQ38" s="42"/>
      <c r="AR38" s="12"/>
      <c r="AS38" s="12"/>
      <c r="AT38" s="12"/>
      <c r="AU38" s="42"/>
      <c r="AV38" s="7">
        <v>48.4</v>
      </c>
      <c r="AW38" s="13">
        <v>46265</v>
      </c>
      <c r="AX38" s="13">
        <v>46265</v>
      </c>
      <c r="AY38" s="13">
        <v>46265</v>
      </c>
      <c r="BA38" s="2" t="s">
        <v>51</v>
      </c>
      <c r="BB38" s="2" t="s">
        <v>52</v>
      </c>
      <c r="BC38" s="2" t="s">
        <v>398</v>
      </c>
      <c r="BD38" s="2" t="s">
        <v>397</v>
      </c>
      <c r="BE38" s="43">
        <v>0.66666666666666663</v>
      </c>
      <c r="BF38" s="4">
        <f t="shared" si="2"/>
        <v>1723622567</v>
      </c>
      <c r="BG38" s="4" t="str">
        <f t="shared" si="2"/>
        <v>EXCCL-6419</v>
      </c>
      <c r="BH38" s="14"/>
      <c r="BI38" s="33"/>
      <c r="BJ38" s="154"/>
    </row>
    <row r="39" spans="1:62" ht="15" customHeight="1" x14ac:dyDescent="0.35">
      <c r="A39" s="11" t="s">
        <v>57</v>
      </c>
      <c r="B39" s="131" t="s">
        <v>899</v>
      </c>
      <c r="C39" s="19" t="s">
        <v>156</v>
      </c>
      <c r="D39" s="12" t="s">
        <v>157</v>
      </c>
      <c r="E39" s="10">
        <v>1400348478</v>
      </c>
      <c r="F39" s="11" t="s">
        <v>703</v>
      </c>
      <c r="G39" s="13">
        <v>26478</v>
      </c>
      <c r="H39" s="11">
        <f>2026-1972</f>
        <v>54</v>
      </c>
      <c r="I39" s="2" t="s">
        <v>399</v>
      </c>
      <c r="J39" s="2" t="s">
        <v>44</v>
      </c>
      <c r="K39" s="2" t="s">
        <v>45</v>
      </c>
      <c r="L39" s="2" t="s">
        <v>46</v>
      </c>
      <c r="M39" s="2" t="s">
        <v>46</v>
      </c>
      <c r="N39" s="12" t="s">
        <v>543</v>
      </c>
      <c r="O39" s="2" t="s">
        <v>47</v>
      </c>
      <c r="P39" s="46" t="s">
        <v>704</v>
      </c>
      <c r="Q39" s="2" t="s">
        <v>638</v>
      </c>
      <c r="R39" s="2" t="s">
        <v>397</v>
      </c>
      <c r="S39" s="5">
        <v>45894</v>
      </c>
      <c r="T39" s="5">
        <v>46259</v>
      </c>
      <c r="U39" s="2">
        <v>12</v>
      </c>
      <c r="V39" s="40" t="s">
        <v>629</v>
      </c>
      <c r="AA39" s="41"/>
      <c r="AB39" s="2"/>
      <c r="AC39" s="2" t="s">
        <v>805</v>
      </c>
      <c r="AD39" s="2" t="s">
        <v>507</v>
      </c>
      <c r="AE39" s="4">
        <v>40</v>
      </c>
      <c r="AF39" s="2" t="s">
        <v>626</v>
      </c>
      <c r="AG39" s="2" t="s">
        <v>49</v>
      </c>
      <c r="AH39" s="2" t="s">
        <v>627</v>
      </c>
      <c r="AJ39" s="21"/>
      <c r="AK39" s="12"/>
      <c r="AL39" s="12"/>
      <c r="AM39" s="42"/>
      <c r="AN39" s="12"/>
      <c r="AO39" s="12"/>
      <c r="AP39" s="12"/>
      <c r="AQ39" s="42"/>
      <c r="AR39" s="12"/>
      <c r="AS39" s="12"/>
      <c r="AT39" s="12"/>
      <c r="AU39" s="42"/>
      <c r="AV39" s="7">
        <v>48.4</v>
      </c>
      <c r="AW39" s="13">
        <v>46265</v>
      </c>
      <c r="AX39" s="13">
        <v>46265</v>
      </c>
      <c r="AY39" s="13">
        <v>46265</v>
      </c>
      <c r="BA39" s="2" t="s">
        <v>51</v>
      </c>
      <c r="BB39" s="2" t="s">
        <v>52</v>
      </c>
      <c r="BC39" s="2" t="s">
        <v>398</v>
      </c>
      <c r="BD39" s="2" t="s">
        <v>397</v>
      </c>
      <c r="BE39" s="43">
        <v>0.66666666666666663</v>
      </c>
      <c r="BF39" s="4">
        <f t="shared" si="2"/>
        <v>1400348478</v>
      </c>
      <c r="BG39" s="4" t="str">
        <f t="shared" si="2"/>
        <v>EXCCL-5144393</v>
      </c>
      <c r="BH39" s="14"/>
      <c r="BI39" s="33"/>
      <c r="BJ39" s="154"/>
    </row>
    <row r="40" spans="1:62" ht="15" customHeight="1" x14ac:dyDescent="0.35">
      <c r="A40" s="11" t="s">
        <v>57</v>
      </c>
      <c r="B40" s="131" t="s">
        <v>900</v>
      </c>
      <c r="C40" s="19" t="s">
        <v>158</v>
      </c>
      <c r="D40" s="12" t="s">
        <v>159</v>
      </c>
      <c r="E40" s="10">
        <v>1400208938</v>
      </c>
      <c r="F40" s="11" t="s">
        <v>689</v>
      </c>
      <c r="G40" s="13">
        <v>23458</v>
      </c>
      <c r="H40" s="11">
        <f>2026-1964</f>
        <v>62</v>
      </c>
      <c r="I40" s="2" t="s">
        <v>399</v>
      </c>
      <c r="J40" s="2" t="s">
        <v>44</v>
      </c>
      <c r="K40" s="2" t="s">
        <v>45</v>
      </c>
      <c r="L40" s="2" t="s">
        <v>46</v>
      </c>
      <c r="M40" s="2" t="s">
        <v>46</v>
      </c>
      <c r="N40" s="12" t="s">
        <v>544</v>
      </c>
      <c r="O40" s="2" t="s">
        <v>47</v>
      </c>
      <c r="P40" s="46" t="s">
        <v>705</v>
      </c>
      <c r="Q40" s="2" t="s">
        <v>638</v>
      </c>
      <c r="R40" s="2" t="s">
        <v>397</v>
      </c>
      <c r="S40" s="5">
        <v>45894</v>
      </c>
      <c r="T40" s="5">
        <v>46259</v>
      </c>
      <c r="U40" s="2">
        <v>12</v>
      </c>
      <c r="V40" s="40" t="s">
        <v>629</v>
      </c>
      <c r="AA40" s="41"/>
      <c r="AB40" s="2"/>
      <c r="AC40" s="2" t="s">
        <v>805</v>
      </c>
      <c r="AD40" s="2" t="s">
        <v>507</v>
      </c>
      <c r="AE40" s="4">
        <v>40</v>
      </c>
      <c r="AF40" s="2" t="s">
        <v>626</v>
      </c>
      <c r="AG40" s="2" t="s">
        <v>49</v>
      </c>
      <c r="AH40" s="2" t="s">
        <v>627</v>
      </c>
      <c r="AJ40" s="21"/>
      <c r="AK40" s="12"/>
      <c r="AL40" s="12"/>
      <c r="AM40" s="42"/>
      <c r="AN40" s="12"/>
      <c r="AO40" s="12"/>
      <c r="AP40" s="12"/>
      <c r="AQ40" s="42"/>
      <c r="AR40" s="12"/>
      <c r="AS40" s="12"/>
      <c r="AT40" s="12"/>
      <c r="AU40" s="42"/>
      <c r="AV40" s="7">
        <v>48.4</v>
      </c>
      <c r="AW40" s="13">
        <v>46265</v>
      </c>
      <c r="AX40" s="13">
        <v>46265</v>
      </c>
      <c r="AY40" s="13">
        <v>46265</v>
      </c>
      <c r="BA40" s="2" t="s">
        <v>51</v>
      </c>
      <c r="BB40" s="2" t="s">
        <v>52</v>
      </c>
      <c r="BC40" s="2" t="s">
        <v>398</v>
      </c>
      <c r="BD40" s="2" t="s">
        <v>397</v>
      </c>
      <c r="BE40" s="43">
        <v>0.66666666666666663</v>
      </c>
      <c r="BF40" s="4">
        <f t="shared" si="2"/>
        <v>1400208938</v>
      </c>
      <c r="BG40" s="4" t="str">
        <f t="shared" si="2"/>
        <v>EXCCL-9762032</v>
      </c>
      <c r="BH40" s="14"/>
      <c r="BI40" s="33"/>
      <c r="BJ40" s="154"/>
    </row>
    <row r="41" spans="1:62" ht="15" customHeight="1" x14ac:dyDescent="0.35">
      <c r="A41" s="11"/>
      <c r="B41" s="131" t="s">
        <v>901</v>
      </c>
      <c r="C41" s="19" t="s">
        <v>160</v>
      </c>
      <c r="D41" s="12" t="s">
        <v>161</v>
      </c>
      <c r="E41" s="10">
        <v>1400520100</v>
      </c>
      <c r="F41" s="11" t="s">
        <v>690</v>
      </c>
      <c r="G41" s="13">
        <v>30166</v>
      </c>
      <c r="H41" s="11">
        <f>2026-1982</f>
        <v>44</v>
      </c>
      <c r="I41" s="2" t="s">
        <v>399</v>
      </c>
      <c r="J41" s="2" t="s">
        <v>44</v>
      </c>
      <c r="K41" s="2" t="s">
        <v>45</v>
      </c>
      <c r="L41" s="2" t="s">
        <v>46</v>
      </c>
      <c r="M41" s="2" t="s">
        <v>46</v>
      </c>
      <c r="N41" s="12" t="s">
        <v>545</v>
      </c>
      <c r="O41" s="2" t="s">
        <v>47</v>
      </c>
      <c r="P41" s="46" t="s">
        <v>707</v>
      </c>
      <c r="Q41" s="2" t="s">
        <v>638</v>
      </c>
      <c r="R41" s="2" t="s">
        <v>397</v>
      </c>
      <c r="S41" s="5">
        <v>45894</v>
      </c>
      <c r="T41" s="5">
        <v>46259</v>
      </c>
      <c r="U41" s="2">
        <v>12</v>
      </c>
      <c r="V41" s="40" t="s">
        <v>630</v>
      </c>
      <c r="AA41" s="41"/>
      <c r="AB41" s="2"/>
      <c r="AC41" s="2" t="s">
        <v>805</v>
      </c>
      <c r="AD41" s="2" t="s">
        <v>507</v>
      </c>
      <c r="AE41" s="4">
        <v>40</v>
      </c>
      <c r="AJ41" s="21" t="s">
        <v>81</v>
      </c>
      <c r="AK41" s="2" t="s">
        <v>49</v>
      </c>
      <c r="AL41" s="12" t="s">
        <v>46</v>
      </c>
      <c r="AM41" s="42" t="s">
        <v>78</v>
      </c>
      <c r="AN41" s="12"/>
      <c r="AO41" s="12"/>
      <c r="AP41" s="12"/>
      <c r="AQ41" s="42"/>
      <c r="AR41" s="12"/>
      <c r="AS41" s="12"/>
      <c r="AT41" s="12"/>
      <c r="AU41" s="42"/>
      <c r="AV41" s="7">
        <v>48.4</v>
      </c>
      <c r="AW41" s="13">
        <v>46265</v>
      </c>
      <c r="AX41" s="13">
        <v>46265</v>
      </c>
      <c r="AY41" s="13">
        <v>46265</v>
      </c>
      <c r="BA41" s="2" t="s">
        <v>51</v>
      </c>
      <c r="BB41" s="2" t="s">
        <v>52</v>
      </c>
      <c r="BC41" s="2" t="s">
        <v>398</v>
      </c>
      <c r="BD41" s="2" t="s">
        <v>397</v>
      </c>
      <c r="BE41" s="43">
        <v>0.66666666666666663</v>
      </c>
      <c r="BF41" s="4">
        <f t="shared" si="2"/>
        <v>1400520100</v>
      </c>
      <c r="BG41" s="4" t="str">
        <f t="shared" si="2"/>
        <v>EXCCL-1130575</v>
      </c>
      <c r="BH41" s="14"/>
      <c r="BI41" s="33"/>
      <c r="BJ41" s="154"/>
    </row>
    <row r="42" spans="1:62" ht="15" customHeight="1" x14ac:dyDescent="0.35">
      <c r="A42" s="11" t="s">
        <v>162</v>
      </c>
      <c r="B42" s="131" t="s">
        <v>902</v>
      </c>
      <c r="C42" s="19" t="s">
        <v>163</v>
      </c>
      <c r="D42" s="12" t="s">
        <v>164</v>
      </c>
      <c r="E42" s="10" t="s">
        <v>165</v>
      </c>
      <c r="F42" s="11" t="s">
        <v>691</v>
      </c>
      <c r="G42" s="13">
        <v>27834</v>
      </c>
      <c r="H42" s="11">
        <f>2026-1976</f>
        <v>50</v>
      </c>
      <c r="I42" s="2" t="s">
        <v>399</v>
      </c>
      <c r="J42" s="2" t="s">
        <v>44</v>
      </c>
      <c r="K42" s="2" t="s">
        <v>45</v>
      </c>
      <c r="L42" s="2" t="s">
        <v>46</v>
      </c>
      <c r="M42" s="2" t="s">
        <v>46</v>
      </c>
      <c r="N42" s="12" t="s">
        <v>546</v>
      </c>
      <c r="O42" s="2" t="s">
        <v>47</v>
      </c>
      <c r="P42" s="46" t="s">
        <v>706</v>
      </c>
      <c r="Q42" s="2" t="s">
        <v>638</v>
      </c>
      <c r="R42" s="2" t="s">
        <v>397</v>
      </c>
      <c r="S42" s="5">
        <v>45894</v>
      </c>
      <c r="T42" s="5">
        <v>46259</v>
      </c>
      <c r="U42" s="2">
        <v>12</v>
      </c>
      <c r="V42" s="40" t="s">
        <v>629</v>
      </c>
      <c r="AA42" s="41"/>
      <c r="AB42" s="2"/>
      <c r="AC42" s="2" t="s">
        <v>805</v>
      </c>
      <c r="AD42" s="2" t="s">
        <v>507</v>
      </c>
      <c r="AE42" s="4">
        <v>40</v>
      </c>
      <c r="AF42" s="2" t="s">
        <v>626</v>
      </c>
      <c r="AG42" s="2" t="s">
        <v>49</v>
      </c>
      <c r="AH42" s="2" t="s">
        <v>627</v>
      </c>
      <c r="AJ42" s="21"/>
      <c r="AK42" s="12"/>
      <c r="AL42" s="12"/>
      <c r="AM42" s="42"/>
      <c r="AN42" s="12"/>
      <c r="AO42" s="12"/>
      <c r="AP42" s="12"/>
      <c r="AQ42" s="42"/>
      <c r="AR42" s="12"/>
      <c r="AS42" s="12"/>
      <c r="AT42" s="12"/>
      <c r="AU42" s="42"/>
      <c r="AV42" s="7">
        <v>48.4</v>
      </c>
      <c r="AW42" s="13">
        <v>46265</v>
      </c>
      <c r="AX42" s="13">
        <v>46265</v>
      </c>
      <c r="AY42" s="13">
        <v>46265</v>
      </c>
      <c r="BA42" s="2" t="s">
        <v>51</v>
      </c>
      <c r="BB42" s="2" t="s">
        <v>52</v>
      </c>
      <c r="BC42" s="2" t="s">
        <v>398</v>
      </c>
      <c r="BD42" s="2" t="s">
        <v>397</v>
      </c>
      <c r="BE42" s="43">
        <v>0.66666666666666663</v>
      </c>
      <c r="BF42" s="4" t="str">
        <f t="shared" si="2"/>
        <v>0801864794</v>
      </c>
      <c r="BG42" s="4" t="str">
        <f t="shared" si="2"/>
        <v>EXCCL-1029980</v>
      </c>
      <c r="BH42" s="14"/>
      <c r="BI42" s="33"/>
      <c r="BJ42" s="154"/>
    </row>
    <row r="43" spans="1:62" ht="15" customHeight="1" x14ac:dyDescent="0.35">
      <c r="A43" s="11"/>
      <c r="B43" s="131" t="s">
        <v>903</v>
      </c>
      <c r="C43" s="19" t="s">
        <v>166</v>
      </c>
      <c r="D43" s="12" t="s">
        <v>167</v>
      </c>
      <c r="E43" s="10">
        <v>1600350357</v>
      </c>
      <c r="F43" s="11" t="s">
        <v>692</v>
      </c>
      <c r="G43" s="13">
        <v>30324</v>
      </c>
      <c r="H43" s="11">
        <f>2026-1983</f>
        <v>43</v>
      </c>
      <c r="I43" s="2" t="s">
        <v>399</v>
      </c>
      <c r="J43" s="2" t="s">
        <v>44</v>
      </c>
      <c r="K43" s="2" t="s">
        <v>45</v>
      </c>
      <c r="L43" s="2" t="s">
        <v>46</v>
      </c>
      <c r="M43" s="2" t="s">
        <v>46</v>
      </c>
      <c r="N43" s="12" t="s">
        <v>708</v>
      </c>
      <c r="O43" s="2" t="s">
        <v>47</v>
      </c>
      <c r="P43" s="46" t="s">
        <v>709</v>
      </c>
      <c r="Q43" s="2" t="s">
        <v>638</v>
      </c>
      <c r="R43" s="2" t="s">
        <v>397</v>
      </c>
      <c r="S43" s="5">
        <v>45894</v>
      </c>
      <c r="T43" s="5">
        <v>46259</v>
      </c>
      <c r="U43" s="2">
        <v>12</v>
      </c>
      <c r="V43" s="40" t="s">
        <v>630</v>
      </c>
      <c r="AA43" s="41"/>
      <c r="AB43" s="2"/>
      <c r="AC43" s="2" t="s">
        <v>805</v>
      </c>
      <c r="AD43" s="2" t="s">
        <v>507</v>
      </c>
      <c r="AE43" s="4">
        <v>40</v>
      </c>
      <c r="AJ43" s="21" t="s">
        <v>168</v>
      </c>
      <c r="AK43" s="2" t="s">
        <v>49</v>
      </c>
      <c r="AL43" s="12" t="s">
        <v>409</v>
      </c>
      <c r="AM43" s="42" t="s">
        <v>78</v>
      </c>
      <c r="AN43" s="12"/>
      <c r="AO43" s="12"/>
      <c r="AP43" s="12"/>
      <c r="AQ43" s="42"/>
      <c r="AR43" s="12"/>
      <c r="AS43" s="12"/>
      <c r="AT43" s="12"/>
      <c r="AU43" s="42"/>
      <c r="AV43" s="7">
        <v>48.4</v>
      </c>
      <c r="AW43" s="13">
        <v>46265</v>
      </c>
      <c r="AX43" s="13">
        <v>46265</v>
      </c>
      <c r="AY43" s="13">
        <v>46265</v>
      </c>
      <c r="BA43" s="2" t="s">
        <v>51</v>
      </c>
      <c r="BB43" s="2" t="s">
        <v>52</v>
      </c>
      <c r="BC43" s="2" t="s">
        <v>398</v>
      </c>
      <c r="BD43" s="2" t="s">
        <v>397</v>
      </c>
      <c r="BE43" s="43">
        <v>0.66666666666666663</v>
      </c>
      <c r="BF43" s="4">
        <f t="shared" si="2"/>
        <v>1600350357</v>
      </c>
      <c r="BG43" s="4" t="str">
        <f t="shared" si="2"/>
        <v>EXCCL-940483</v>
      </c>
      <c r="BH43" s="14"/>
      <c r="BI43" s="33"/>
      <c r="BJ43" s="154"/>
    </row>
    <row r="44" spans="1:62" ht="15" customHeight="1" x14ac:dyDescent="0.35">
      <c r="A44" s="11" t="s">
        <v>57</v>
      </c>
      <c r="B44" s="131" t="s">
        <v>904</v>
      </c>
      <c r="C44" s="19" t="s">
        <v>169</v>
      </c>
      <c r="D44" s="12" t="s">
        <v>170</v>
      </c>
      <c r="E44" s="10">
        <v>1400772891</v>
      </c>
      <c r="F44" s="11" t="s">
        <v>693</v>
      </c>
      <c r="G44" s="13">
        <v>31574</v>
      </c>
      <c r="H44" s="11">
        <f>2026-1986</f>
        <v>40</v>
      </c>
      <c r="I44" s="2" t="s">
        <v>399</v>
      </c>
      <c r="J44" s="2" t="s">
        <v>44</v>
      </c>
      <c r="K44" s="2" t="s">
        <v>45</v>
      </c>
      <c r="L44" s="2" t="s">
        <v>46</v>
      </c>
      <c r="M44" s="2" t="s">
        <v>46</v>
      </c>
      <c r="N44" s="12" t="s">
        <v>547</v>
      </c>
      <c r="O44" s="2" t="s">
        <v>47</v>
      </c>
      <c r="P44" s="46" t="s">
        <v>712</v>
      </c>
      <c r="Q44" s="2" t="s">
        <v>638</v>
      </c>
      <c r="R44" s="2" t="s">
        <v>397</v>
      </c>
      <c r="S44" s="5">
        <v>45894</v>
      </c>
      <c r="T44" s="5">
        <v>46259</v>
      </c>
      <c r="U44" s="2">
        <v>12</v>
      </c>
      <c r="V44" s="40" t="s">
        <v>629</v>
      </c>
      <c r="AA44" s="41"/>
      <c r="AB44" s="2"/>
      <c r="AC44" s="2" t="s">
        <v>805</v>
      </c>
      <c r="AD44" s="2" t="s">
        <v>507</v>
      </c>
      <c r="AE44" s="4">
        <v>40</v>
      </c>
      <c r="AF44" s="2" t="s">
        <v>626</v>
      </c>
      <c r="AG44" s="2" t="s">
        <v>49</v>
      </c>
      <c r="AH44" s="2" t="s">
        <v>627</v>
      </c>
      <c r="AJ44" s="21"/>
      <c r="AK44" s="12"/>
      <c r="AL44" s="12"/>
      <c r="AM44" s="42"/>
      <c r="AN44" s="12"/>
      <c r="AO44" s="12"/>
      <c r="AP44" s="12"/>
      <c r="AQ44" s="42"/>
      <c r="AR44" s="12"/>
      <c r="AS44" s="12"/>
      <c r="AT44" s="12"/>
      <c r="AU44" s="42"/>
      <c r="AV44" s="7">
        <v>48.4</v>
      </c>
      <c r="AW44" s="13">
        <v>46265</v>
      </c>
      <c r="AX44" s="13">
        <v>46265</v>
      </c>
      <c r="AY44" s="13">
        <v>46265</v>
      </c>
      <c r="BA44" s="2" t="s">
        <v>51</v>
      </c>
      <c r="BB44" s="2" t="s">
        <v>52</v>
      </c>
      <c r="BC44" s="2" t="s">
        <v>398</v>
      </c>
      <c r="BD44" s="2" t="s">
        <v>397</v>
      </c>
      <c r="BE44" s="43">
        <v>0.66666666666666663</v>
      </c>
      <c r="BF44" s="4">
        <f t="shared" si="2"/>
        <v>1400772891</v>
      </c>
      <c r="BG44" s="4" t="str">
        <f t="shared" si="2"/>
        <v>EXCCL-7723581</v>
      </c>
      <c r="BH44" s="14"/>
      <c r="BI44" s="33"/>
      <c r="BJ44" s="154"/>
    </row>
    <row r="45" spans="1:62" ht="15" customHeight="1" x14ac:dyDescent="0.35">
      <c r="A45" s="11"/>
      <c r="B45" s="131" t="s">
        <v>905</v>
      </c>
      <c r="C45" s="19" t="s">
        <v>171</v>
      </c>
      <c r="D45" s="12" t="s">
        <v>172</v>
      </c>
      <c r="E45" s="10">
        <v>1400444459</v>
      </c>
      <c r="F45" s="11" t="s">
        <v>698</v>
      </c>
      <c r="G45" s="13">
        <v>28997</v>
      </c>
      <c r="H45" s="11">
        <f>2026-1979</f>
        <v>47</v>
      </c>
      <c r="I45" s="2" t="s">
        <v>399</v>
      </c>
      <c r="J45" s="2" t="s">
        <v>44</v>
      </c>
      <c r="K45" s="2" t="s">
        <v>45</v>
      </c>
      <c r="L45" s="2" t="s">
        <v>46</v>
      </c>
      <c r="M45" s="2" t="s">
        <v>46</v>
      </c>
      <c r="N45" s="12" t="s">
        <v>548</v>
      </c>
      <c r="O45" s="2" t="s">
        <v>47</v>
      </c>
      <c r="P45" s="46" t="s">
        <v>711</v>
      </c>
      <c r="Q45" s="2" t="s">
        <v>638</v>
      </c>
      <c r="R45" s="2" t="s">
        <v>397</v>
      </c>
      <c r="S45" s="5">
        <v>45894</v>
      </c>
      <c r="T45" s="5">
        <v>46259</v>
      </c>
      <c r="U45" s="2">
        <v>12</v>
      </c>
      <c r="V45" s="40" t="s">
        <v>630</v>
      </c>
      <c r="AA45" s="41"/>
      <c r="AB45" s="2"/>
      <c r="AC45" s="2" t="s">
        <v>805</v>
      </c>
      <c r="AD45" s="2" t="s">
        <v>507</v>
      </c>
      <c r="AE45" s="4">
        <v>40</v>
      </c>
      <c r="AJ45" s="21" t="s">
        <v>173</v>
      </c>
      <c r="AK45" s="2" t="s">
        <v>49</v>
      </c>
      <c r="AL45" s="12" t="s">
        <v>46</v>
      </c>
      <c r="AM45" s="42" t="s">
        <v>78</v>
      </c>
      <c r="AN45" s="12"/>
      <c r="AO45" s="12"/>
      <c r="AP45" s="12"/>
      <c r="AQ45" s="42"/>
      <c r="AR45" s="12"/>
      <c r="AS45" s="12"/>
      <c r="AT45" s="12"/>
      <c r="AU45" s="42"/>
      <c r="AV45" s="7">
        <v>48.4</v>
      </c>
      <c r="AW45" s="13">
        <v>46265</v>
      </c>
      <c r="AX45" s="13">
        <v>46265</v>
      </c>
      <c r="AY45" s="13">
        <v>46265</v>
      </c>
      <c r="BA45" s="2" t="s">
        <v>51</v>
      </c>
      <c r="BB45" s="2" t="s">
        <v>52</v>
      </c>
      <c r="BC45" s="2" t="s">
        <v>398</v>
      </c>
      <c r="BD45" s="2" t="s">
        <v>397</v>
      </c>
      <c r="BE45" s="43">
        <v>0.66666666666666663</v>
      </c>
      <c r="BF45" s="4">
        <f t="shared" si="2"/>
        <v>1400444459</v>
      </c>
      <c r="BG45" s="4" t="str">
        <f t="shared" si="2"/>
        <v>EXCCL-3240870</v>
      </c>
      <c r="BH45" s="14"/>
      <c r="BI45" s="33"/>
      <c r="BJ45" s="154"/>
    </row>
    <row r="46" spans="1:62" ht="15" customHeight="1" x14ac:dyDescent="0.35">
      <c r="A46" s="11" t="s">
        <v>61</v>
      </c>
      <c r="B46" s="131" t="s">
        <v>906</v>
      </c>
      <c r="C46" s="19" t="s">
        <v>174</v>
      </c>
      <c r="D46" s="12" t="s">
        <v>175</v>
      </c>
      <c r="E46" s="10">
        <v>1400815799</v>
      </c>
      <c r="F46" s="11" t="s">
        <v>699</v>
      </c>
      <c r="G46" s="13">
        <v>33637</v>
      </c>
      <c r="H46" s="11">
        <f>2026-1992</f>
        <v>34</v>
      </c>
      <c r="I46" s="2" t="s">
        <v>399</v>
      </c>
      <c r="J46" s="2" t="s">
        <v>44</v>
      </c>
      <c r="K46" s="2" t="s">
        <v>45</v>
      </c>
      <c r="L46" s="2" t="s">
        <v>46</v>
      </c>
      <c r="M46" s="2" t="s">
        <v>46</v>
      </c>
      <c r="N46" s="12" t="s">
        <v>549</v>
      </c>
      <c r="O46" s="2" t="s">
        <v>47</v>
      </c>
      <c r="P46" s="46" t="s">
        <v>713</v>
      </c>
      <c r="Q46" s="2" t="s">
        <v>638</v>
      </c>
      <c r="R46" s="2" t="s">
        <v>397</v>
      </c>
      <c r="S46" s="5">
        <v>45894</v>
      </c>
      <c r="T46" s="5">
        <v>46259</v>
      </c>
      <c r="U46" s="2">
        <v>12</v>
      </c>
      <c r="V46" s="40" t="s">
        <v>629</v>
      </c>
      <c r="AA46" s="41"/>
      <c r="AB46" s="2"/>
      <c r="AC46" s="2" t="s">
        <v>805</v>
      </c>
      <c r="AD46" s="2" t="s">
        <v>507</v>
      </c>
      <c r="AE46" s="4">
        <v>40</v>
      </c>
      <c r="AF46" s="2" t="s">
        <v>626</v>
      </c>
      <c r="AG46" s="2" t="s">
        <v>49</v>
      </c>
      <c r="AH46" s="2" t="s">
        <v>627</v>
      </c>
      <c r="AJ46" s="21"/>
      <c r="AK46" s="12"/>
      <c r="AL46" s="12"/>
      <c r="AM46" s="42"/>
      <c r="AN46" s="12"/>
      <c r="AO46" s="12"/>
      <c r="AP46" s="12"/>
      <c r="AQ46" s="42"/>
      <c r="AR46" s="12"/>
      <c r="AS46" s="12"/>
      <c r="AT46" s="12"/>
      <c r="AU46" s="42"/>
      <c r="AV46" s="7">
        <v>48.4</v>
      </c>
      <c r="AW46" s="13">
        <v>46265</v>
      </c>
      <c r="AX46" s="13">
        <v>46265</v>
      </c>
      <c r="AY46" s="13">
        <v>46265</v>
      </c>
      <c r="BA46" s="2" t="s">
        <v>51</v>
      </c>
      <c r="BB46" s="2" t="s">
        <v>52</v>
      </c>
      <c r="BC46" s="2" t="s">
        <v>398</v>
      </c>
      <c r="BD46" s="2" t="s">
        <v>397</v>
      </c>
      <c r="BE46" s="43">
        <v>0.66666666666666663</v>
      </c>
      <c r="BF46" s="4">
        <f t="shared" si="2"/>
        <v>1400815799</v>
      </c>
      <c r="BG46" s="4" t="str">
        <f t="shared" si="2"/>
        <v>EXCCL-7354445</v>
      </c>
      <c r="BH46" s="14"/>
      <c r="BI46" s="33"/>
      <c r="BJ46" s="154"/>
    </row>
    <row r="47" spans="1:62" ht="15" customHeight="1" x14ac:dyDescent="0.35">
      <c r="A47" s="11" t="s">
        <v>94</v>
      </c>
      <c r="B47" s="131" t="s">
        <v>907</v>
      </c>
      <c r="C47" s="19" t="s">
        <v>176</v>
      </c>
      <c r="D47" s="12" t="s">
        <v>177</v>
      </c>
      <c r="E47" s="10">
        <v>1400517874</v>
      </c>
      <c r="F47" s="11" t="s">
        <v>700</v>
      </c>
      <c r="G47" s="13">
        <v>31283</v>
      </c>
      <c r="H47" s="11">
        <f>2026-1985</f>
        <v>41</v>
      </c>
      <c r="I47" s="2" t="s">
        <v>399</v>
      </c>
      <c r="J47" s="2" t="s">
        <v>44</v>
      </c>
      <c r="K47" s="2" t="s">
        <v>45</v>
      </c>
      <c r="L47" s="2" t="s">
        <v>46</v>
      </c>
      <c r="M47" s="2" t="s">
        <v>46</v>
      </c>
      <c r="N47" s="12" t="s">
        <v>550</v>
      </c>
      <c r="O47" s="2" t="s">
        <v>47</v>
      </c>
      <c r="P47" s="46" t="s">
        <v>714</v>
      </c>
      <c r="Q47" s="2" t="s">
        <v>638</v>
      </c>
      <c r="R47" s="2" t="s">
        <v>397</v>
      </c>
      <c r="S47" s="5">
        <v>45894</v>
      </c>
      <c r="T47" s="5">
        <v>46259</v>
      </c>
      <c r="U47" s="2">
        <v>12</v>
      </c>
      <c r="V47" s="40" t="s">
        <v>630</v>
      </c>
      <c r="AA47" s="41"/>
      <c r="AB47" s="2"/>
      <c r="AC47" s="2" t="s">
        <v>805</v>
      </c>
      <c r="AD47" s="2" t="s">
        <v>507</v>
      </c>
      <c r="AE47" s="4">
        <v>40</v>
      </c>
      <c r="AJ47" s="21" t="s">
        <v>178</v>
      </c>
      <c r="AK47" s="2" t="s">
        <v>49</v>
      </c>
      <c r="AL47" s="12" t="s">
        <v>410</v>
      </c>
      <c r="AM47" s="42" t="s">
        <v>179</v>
      </c>
      <c r="AN47" s="12" t="s">
        <v>180</v>
      </c>
      <c r="AO47" s="2" t="s">
        <v>49</v>
      </c>
      <c r="AP47" s="12" t="s">
        <v>419</v>
      </c>
      <c r="AQ47" s="42" t="s">
        <v>181</v>
      </c>
      <c r="AR47" s="12"/>
      <c r="AS47" s="12"/>
      <c r="AT47" s="12"/>
      <c r="AU47" s="42"/>
      <c r="AV47" s="7">
        <v>48.4</v>
      </c>
      <c r="AW47" s="13">
        <v>46265</v>
      </c>
      <c r="AX47" s="13">
        <v>46265</v>
      </c>
      <c r="AY47" s="13">
        <v>46265</v>
      </c>
      <c r="BA47" s="2" t="s">
        <v>51</v>
      </c>
      <c r="BB47" s="2" t="s">
        <v>52</v>
      </c>
      <c r="BC47" s="2" t="s">
        <v>398</v>
      </c>
      <c r="BD47" s="2" t="s">
        <v>397</v>
      </c>
      <c r="BE47" s="43">
        <v>0.75</v>
      </c>
      <c r="BF47" s="4">
        <f t="shared" si="2"/>
        <v>1400517874</v>
      </c>
      <c r="BG47" s="4" t="str">
        <f t="shared" si="2"/>
        <v>EXCCL-2662414</v>
      </c>
      <c r="BH47" s="14"/>
      <c r="BI47" s="33"/>
      <c r="BJ47" s="154"/>
    </row>
    <row r="48" spans="1:62" ht="15" customHeight="1" thickBot="1" x14ac:dyDescent="0.4">
      <c r="A48" s="11"/>
      <c r="B48" s="131" t="s">
        <v>908</v>
      </c>
      <c r="C48" s="48" t="s">
        <v>182</v>
      </c>
      <c r="D48" s="49" t="s">
        <v>183</v>
      </c>
      <c r="E48" s="50">
        <v>1400197669</v>
      </c>
      <c r="F48" s="51" t="s">
        <v>701</v>
      </c>
      <c r="G48" s="61">
        <v>23972</v>
      </c>
      <c r="H48" s="51">
        <f>2026-1965</f>
        <v>61</v>
      </c>
      <c r="I48" s="52" t="s">
        <v>399</v>
      </c>
      <c r="J48" s="52" t="s">
        <v>44</v>
      </c>
      <c r="K48" s="52" t="s">
        <v>45</v>
      </c>
      <c r="L48" s="52" t="s">
        <v>46</v>
      </c>
      <c r="M48" s="52" t="s">
        <v>46</v>
      </c>
      <c r="N48" s="49" t="s">
        <v>551</v>
      </c>
      <c r="O48" s="52" t="s">
        <v>47</v>
      </c>
      <c r="P48" s="54" t="s">
        <v>715</v>
      </c>
      <c r="Q48" s="52" t="s">
        <v>638</v>
      </c>
      <c r="R48" s="52" t="s">
        <v>397</v>
      </c>
      <c r="S48" s="62">
        <v>45894</v>
      </c>
      <c r="T48" s="62">
        <v>46259</v>
      </c>
      <c r="U48" s="52">
        <v>12</v>
      </c>
      <c r="V48" s="63" t="s">
        <v>630</v>
      </c>
      <c r="W48" s="64"/>
      <c r="X48" s="64"/>
      <c r="Y48" s="64"/>
      <c r="Z48" s="64"/>
      <c r="AA48" s="65"/>
      <c r="AB48" s="52"/>
      <c r="AC48" s="52" t="s">
        <v>805</v>
      </c>
      <c r="AD48" s="52" t="s">
        <v>507</v>
      </c>
      <c r="AE48" s="53">
        <v>40</v>
      </c>
      <c r="AF48" s="64"/>
      <c r="AG48" s="64"/>
      <c r="AH48" s="64"/>
      <c r="AI48" s="64"/>
      <c r="AJ48" s="103" t="s">
        <v>184</v>
      </c>
      <c r="AK48" s="52" t="s">
        <v>49</v>
      </c>
      <c r="AL48" s="49" t="s">
        <v>411</v>
      </c>
      <c r="AM48" s="66" t="s">
        <v>126</v>
      </c>
      <c r="AN48" s="49"/>
      <c r="AO48" s="49"/>
      <c r="AP48" s="49"/>
      <c r="AQ48" s="66"/>
      <c r="AR48" s="49"/>
      <c r="AS48" s="49"/>
      <c r="AT48" s="49"/>
      <c r="AU48" s="66"/>
      <c r="AV48" s="67">
        <v>48.4</v>
      </c>
      <c r="AW48" s="61">
        <v>46265</v>
      </c>
      <c r="AX48" s="61">
        <v>46265</v>
      </c>
      <c r="AY48" s="61">
        <v>46265</v>
      </c>
      <c r="AZ48" s="64"/>
      <c r="BA48" s="52" t="s">
        <v>51</v>
      </c>
      <c r="BB48" s="52" t="s">
        <v>52</v>
      </c>
      <c r="BC48" s="52" t="s">
        <v>398</v>
      </c>
      <c r="BD48" s="52" t="s">
        <v>397</v>
      </c>
      <c r="BE48" s="55">
        <v>0.75</v>
      </c>
      <c r="BF48" s="53">
        <f t="shared" si="2"/>
        <v>1400197669</v>
      </c>
      <c r="BG48" s="53" t="str">
        <f t="shared" si="2"/>
        <v>EXCCL-1235085</v>
      </c>
      <c r="BH48" s="104"/>
      <c r="BI48" s="105"/>
      <c r="BJ48" s="154"/>
    </row>
    <row r="49" spans="1:62" ht="15" customHeight="1" x14ac:dyDescent="0.35">
      <c r="A49" s="11" t="s">
        <v>57</v>
      </c>
      <c r="B49" s="148" t="s">
        <v>911</v>
      </c>
      <c r="C49" s="19" t="s">
        <v>185</v>
      </c>
      <c r="D49" s="12" t="s">
        <v>186</v>
      </c>
      <c r="E49" s="10">
        <v>1400893093</v>
      </c>
      <c r="F49" s="11" t="s">
        <v>702</v>
      </c>
      <c r="G49" s="13">
        <v>33272</v>
      </c>
      <c r="H49" s="11">
        <f>2026-1991</f>
        <v>35</v>
      </c>
      <c r="I49" s="2" t="s">
        <v>399</v>
      </c>
      <c r="J49" s="2" t="s">
        <v>44</v>
      </c>
      <c r="K49" s="2" t="s">
        <v>45</v>
      </c>
      <c r="L49" s="2" t="s">
        <v>46</v>
      </c>
      <c r="M49" s="2" t="s">
        <v>46</v>
      </c>
      <c r="N49" s="12" t="s">
        <v>552</v>
      </c>
      <c r="O49" s="2" t="s">
        <v>47</v>
      </c>
      <c r="P49" s="46" t="s">
        <v>732</v>
      </c>
      <c r="Q49" s="2" t="s">
        <v>638</v>
      </c>
      <c r="R49" s="2" t="s">
        <v>397</v>
      </c>
      <c r="S49" s="5">
        <v>45894</v>
      </c>
      <c r="T49" s="5">
        <v>46259</v>
      </c>
      <c r="U49" s="2">
        <v>12</v>
      </c>
      <c r="V49" s="40" t="s">
        <v>629</v>
      </c>
      <c r="AA49" s="41"/>
      <c r="AB49" s="2"/>
      <c r="AC49" s="2" t="s">
        <v>805</v>
      </c>
      <c r="AD49" s="2" t="s">
        <v>507</v>
      </c>
      <c r="AE49" s="4">
        <v>40</v>
      </c>
      <c r="AF49" s="2" t="s">
        <v>626</v>
      </c>
      <c r="AG49" s="2" t="s">
        <v>49</v>
      </c>
      <c r="AH49" s="2" t="s">
        <v>627</v>
      </c>
      <c r="AJ49" s="21"/>
      <c r="AK49" s="12"/>
      <c r="AL49" s="12"/>
      <c r="AM49" s="42"/>
      <c r="AN49" s="12"/>
      <c r="AO49" s="12"/>
      <c r="AP49" s="12"/>
      <c r="AQ49" s="42"/>
      <c r="AR49" s="12"/>
      <c r="AS49" s="12"/>
      <c r="AT49" s="12"/>
      <c r="AU49" s="42"/>
      <c r="AV49" s="7">
        <v>48.4</v>
      </c>
      <c r="AW49" s="13">
        <v>46266</v>
      </c>
      <c r="AX49" s="13">
        <v>46266</v>
      </c>
      <c r="AY49" s="13">
        <v>46266</v>
      </c>
      <c r="BA49" s="2" t="s">
        <v>51</v>
      </c>
      <c r="BB49" s="2" t="s">
        <v>52</v>
      </c>
      <c r="BC49" s="2" t="s">
        <v>398</v>
      </c>
      <c r="BD49" s="2" t="s">
        <v>397</v>
      </c>
      <c r="BE49" s="43">
        <v>0.5</v>
      </c>
      <c r="BF49" s="4">
        <f t="shared" si="2"/>
        <v>1400893093</v>
      </c>
      <c r="BG49" s="4" t="str">
        <f t="shared" si="2"/>
        <v>EXCCL-6419</v>
      </c>
      <c r="BH49" s="14"/>
      <c r="BI49" s="33"/>
      <c r="BJ49" s="154"/>
    </row>
    <row r="50" spans="1:62" ht="15" customHeight="1" x14ac:dyDescent="0.35">
      <c r="A50" s="11"/>
      <c r="B50" s="148" t="s">
        <v>912</v>
      </c>
      <c r="C50" s="19" t="s">
        <v>187</v>
      </c>
      <c r="D50" s="12" t="s">
        <v>188</v>
      </c>
      <c r="E50" s="10">
        <v>2100836671</v>
      </c>
      <c r="F50" s="11" t="s">
        <v>703</v>
      </c>
      <c r="G50" s="13">
        <v>35482</v>
      </c>
      <c r="H50" s="11">
        <f>2026-1997</f>
        <v>29</v>
      </c>
      <c r="I50" s="2" t="s">
        <v>399</v>
      </c>
      <c r="J50" s="2" t="s">
        <v>44</v>
      </c>
      <c r="K50" s="2" t="s">
        <v>45</v>
      </c>
      <c r="L50" s="2" t="s">
        <v>46</v>
      </c>
      <c r="M50" s="2" t="s">
        <v>46</v>
      </c>
      <c r="N50" s="12" t="s">
        <v>553</v>
      </c>
      <c r="O50" s="2" t="s">
        <v>47</v>
      </c>
      <c r="P50" s="46" t="s">
        <v>741</v>
      </c>
      <c r="Q50" s="2" t="s">
        <v>638</v>
      </c>
      <c r="R50" s="2" t="s">
        <v>397</v>
      </c>
      <c r="S50" s="5">
        <v>45894</v>
      </c>
      <c r="T50" s="5">
        <v>46259</v>
      </c>
      <c r="U50" s="2">
        <v>12</v>
      </c>
      <c r="V50" s="40" t="s">
        <v>629</v>
      </c>
      <c r="AA50" s="41"/>
      <c r="AB50" s="2"/>
      <c r="AC50" s="2" t="s">
        <v>805</v>
      </c>
      <c r="AD50" s="2" t="s">
        <v>507</v>
      </c>
      <c r="AE50" s="4">
        <v>40</v>
      </c>
      <c r="AJ50" s="21" t="s">
        <v>81</v>
      </c>
      <c r="AK50" s="2" t="s">
        <v>49</v>
      </c>
      <c r="AL50" s="12" t="s">
        <v>46</v>
      </c>
      <c r="AM50" s="42" t="s">
        <v>189</v>
      </c>
      <c r="AN50" s="12"/>
      <c r="AO50" s="12"/>
      <c r="AP50" s="12"/>
      <c r="AQ50" s="42"/>
      <c r="AR50" s="12"/>
      <c r="AS50" s="12"/>
      <c r="AT50" s="12"/>
      <c r="AU50" s="42"/>
      <c r="AV50" s="7">
        <v>48.4</v>
      </c>
      <c r="AW50" s="13">
        <v>46266</v>
      </c>
      <c r="AX50" s="13">
        <v>46266</v>
      </c>
      <c r="AY50" s="13">
        <v>46266</v>
      </c>
      <c r="BA50" s="2" t="s">
        <v>51</v>
      </c>
      <c r="BB50" s="2" t="s">
        <v>52</v>
      </c>
      <c r="BC50" s="2" t="s">
        <v>398</v>
      </c>
      <c r="BD50" s="2" t="s">
        <v>397</v>
      </c>
      <c r="BE50" s="43">
        <v>0.5</v>
      </c>
      <c r="BF50" s="4">
        <f t="shared" si="2"/>
        <v>2100836671</v>
      </c>
      <c r="BG50" s="4" t="str">
        <f t="shared" si="2"/>
        <v>EXCCL-5144393</v>
      </c>
      <c r="BH50" s="14"/>
      <c r="BI50" s="33"/>
      <c r="BJ50" s="154"/>
    </row>
    <row r="51" spans="1:62" ht="15" customHeight="1" x14ac:dyDescent="0.35">
      <c r="A51" s="11"/>
      <c r="B51" s="148" t="s">
        <v>913</v>
      </c>
      <c r="C51" s="19" t="s">
        <v>190</v>
      </c>
      <c r="D51" s="12" t="s">
        <v>191</v>
      </c>
      <c r="E51" s="10">
        <v>1400512149</v>
      </c>
      <c r="F51" s="11" t="s">
        <v>716</v>
      </c>
      <c r="G51" s="13">
        <v>32017</v>
      </c>
      <c r="H51" s="11">
        <f>2026-1987</f>
        <v>39</v>
      </c>
      <c r="I51" s="2" t="s">
        <v>399</v>
      </c>
      <c r="J51" s="2" t="s">
        <v>44</v>
      </c>
      <c r="K51" s="2" t="s">
        <v>45</v>
      </c>
      <c r="L51" s="2" t="s">
        <v>46</v>
      </c>
      <c r="M51" s="2" t="s">
        <v>46</v>
      </c>
      <c r="N51" s="12" t="s">
        <v>554</v>
      </c>
      <c r="O51" s="2" t="s">
        <v>47</v>
      </c>
      <c r="P51" s="46" t="s">
        <v>742</v>
      </c>
      <c r="Q51" s="2" t="s">
        <v>638</v>
      </c>
      <c r="R51" s="2" t="s">
        <v>397</v>
      </c>
      <c r="S51" s="5">
        <v>45894</v>
      </c>
      <c r="T51" s="5">
        <v>46259</v>
      </c>
      <c r="U51" s="2">
        <v>12</v>
      </c>
      <c r="V51" s="40" t="s">
        <v>630</v>
      </c>
      <c r="AA51" s="41"/>
      <c r="AB51" s="2"/>
      <c r="AC51" s="2" t="s">
        <v>805</v>
      </c>
      <c r="AD51" s="2" t="s">
        <v>507</v>
      </c>
      <c r="AE51" s="4">
        <v>40</v>
      </c>
      <c r="AJ51" s="21" t="s">
        <v>90</v>
      </c>
      <c r="AK51" s="2" t="s">
        <v>49</v>
      </c>
      <c r="AL51" s="12" t="s">
        <v>46</v>
      </c>
      <c r="AM51" s="42" t="s">
        <v>50</v>
      </c>
      <c r="AN51" s="12"/>
      <c r="AO51" s="12"/>
      <c r="AP51" s="12"/>
      <c r="AQ51" s="42"/>
      <c r="AR51" s="12"/>
      <c r="AS51" s="12"/>
      <c r="AT51" s="12"/>
      <c r="AU51" s="42"/>
      <c r="AV51" s="7">
        <v>48.4</v>
      </c>
      <c r="AW51" s="13">
        <v>46266</v>
      </c>
      <c r="AX51" s="13">
        <v>46266</v>
      </c>
      <c r="AY51" s="13">
        <v>46266</v>
      </c>
      <c r="BA51" s="2" t="s">
        <v>51</v>
      </c>
      <c r="BB51" s="2" t="s">
        <v>52</v>
      </c>
      <c r="BC51" s="2" t="s">
        <v>398</v>
      </c>
      <c r="BD51" s="2" t="s">
        <v>397</v>
      </c>
      <c r="BE51" s="43">
        <v>0.5</v>
      </c>
      <c r="BF51" s="4">
        <f t="shared" si="2"/>
        <v>1400512149</v>
      </c>
      <c r="BG51" s="4" t="str">
        <f t="shared" si="2"/>
        <v>EXCCL-7804101</v>
      </c>
      <c r="BH51" s="14"/>
      <c r="BI51" s="33"/>
      <c r="BJ51" s="154"/>
    </row>
    <row r="52" spans="1:62" ht="15" customHeight="1" x14ac:dyDescent="0.35">
      <c r="A52" s="11"/>
      <c r="B52" s="148" t="s">
        <v>914</v>
      </c>
      <c r="C52" s="19" t="s">
        <v>192</v>
      </c>
      <c r="D52" s="12" t="s">
        <v>193</v>
      </c>
      <c r="E52" s="10">
        <v>1400958169</v>
      </c>
      <c r="F52" s="11" t="s">
        <v>717</v>
      </c>
      <c r="G52" s="13">
        <v>36153</v>
      </c>
      <c r="H52" s="11">
        <f>2026-1998</f>
        <v>28</v>
      </c>
      <c r="I52" s="2" t="s">
        <v>399</v>
      </c>
      <c r="J52" s="2" t="s">
        <v>44</v>
      </c>
      <c r="K52" s="2" t="s">
        <v>45</v>
      </c>
      <c r="L52" s="2" t="s">
        <v>46</v>
      </c>
      <c r="M52" s="2" t="s">
        <v>46</v>
      </c>
      <c r="N52" s="12" t="s">
        <v>555</v>
      </c>
      <c r="O52" s="2" t="s">
        <v>47</v>
      </c>
      <c r="P52" s="46" t="s">
        <v>731</v>
      </c>
      <c r="Q52" s="2" t="s">
        <v>638</v>
      </c>
      <c r="R52" s="2" t="s">
        <v>397</v>
      </c>
      <c r="S52" s="5">
        <v>45894</v>
      </c>
      <c r="T52" s="5">
        <v>46259</v>
      </c>
      <c r="U52" s="2">
        <v>12</v>
      </c>
      <c r="V52" s="40" t="s">
        <v>629</v>
      </c>
      <c r="AA52" s="41"/>
      <c r="AB52" s="2"/>
      <c r="AC52" s="2" t="s">
        <v>805</v>
      </c>
      <c r="AD52" s="2" t="s">
        <v>507</v>
      </c>
      <c r="AE52" s="4">
        <v>40</v>
      </c>
      <c r="AJ52" s="21" t="s">
        <v>194</v>
      </c>
      <c r="AK52" s="2" t="s">
        <v>49</v>
      </c>
      <c r="AL52" s="12" t="s">
        <v>46</v>
      </c>
      <c r="AM52" s="42" t="s">
        <v>78</v>
      </c>
      <c r="AN52" s="12"/>
      <c r="AO52" s="12"/>
      <c r="AP52" s="12"/>
      <c r="AQ52" s="42"/>
      <c r="AR52" s="12"/>
      <c r="AS52" s="12"/>
      <c r="AT52" s="12"/>
      <c r="AU52" s="42"/>
      <c r="AV52" s="7">
        <v>48.4</v>
      </c>
      <c r="AW52" s="13">
        <v>46266</v>
      </c>
      <c r="AX52" s="13">
        <v>46266</v>
      </c>
      <c r="AY52" s="13">
        <v>46266</v>
      </c>
      <c r="BA52" s="2" t="s">
        <v>51</v>
      </c>
      <c r="BB52" s="2" t="s">
        <v>52</v>
      </c>
      <c r="BC52" s="2" t="s">
        <v>398</v>
      </c>
      <c r="BD52" s="2" t="s">
        <v>397</v>
      </c>
      <c r="BE52" s="43">
        <v>0.5</v>
      </c>
      <c r="BF52" s="4">
        <f t="shared" si="2"/>
        <v>1400958169</v>
      </c>
      <c r="BG52" s="4" t="str">
        <f t="shared" si="2"/>
        <v>EXCCL-6516418</v>
      </c>
      <c r="BH52" s="14"/>
      <c r="BI52" s="33"/>
      <c r="BJ52" s="154"/>
    </row>
    <row r="53" spans="1:62" ht="15" customHeight="1" x14ac:dyDescent="0.35">
      <c r="A53" s="11"/>
      <c r="B53" s="148" t="s">
        <v>915</v>
      </c>
      <c r="C53" s="19" t="s">
        <v>195</v>
      </c>
      <c r="D53" s="12" t="s">
        <v>196</v>
      </c>
      <c r="E53" s="10">
        <v>1400469050</v>
      </c>
      <c r="F53" s="11" t="s">
        <v>718</v>
      </c>
      <c r="G53" s="13">
        <v>30478</v>
      </c>
      <c r="H53" s="11">
        <f>2026-1983</f>
        <v>43</v>
      </c>
      <c r="I53" s="2" t="s">
        <v>399</v>
      </c>
      <c r="J53" s="2" t="s">
        <v>44</v>
      </c>
      <c r="K53" s="2" t="s">
        <v>45</v>
      </c>
      <c r="L53" s="2" t="s">
        <v>46</v>
      </c>
      <c r="M53" s="2" t="s">
        <v>46</v>
      </c>
      <c r="N53" s="12" t="s">
        <v>556</v>
      </c>
      <c r="O53" s="2" t="s">
        <v>47</v>
      </c>
      <c r="P53" s="46" t="s">
        <v>743</v>
      </c>
      <c r="Q53" s="2" t="s">
        <v>638</v>
      </c>
      <c r="R53" s="2" t="s">
        <v>397</v>
      </c>
      <c r="S53" s="5">
        <v>45894</v>
      </c>
      <c r="T53" s="5">
        <v>46259</v>
      </c>
      <c r="U53" s="2">
        <v>12</v>
      </c>
      <c r="V53" s="40" t="s">
        <v>630</v>
      </c>
      <c r="AA53" s="41"/>
      <c r="AB53" s="2"/>
      <c r="AC53" s="2" t="s">
        <v>805</v>
      </c>
      <c r="AD53" s="2" t="s">
        <v>507</v>
      </c>
      <c r="AE53" s="4">
        <v>40</v>
      </c>
      <c r="AJ53" s="21" t="s">
        <v>90</v>
      </c>
      <c r="AK53" s="2" t="s">
        <v>49</v>
      </c>
      <c r="AL53" s="12" t="s">
        <v>46</v>
      </c>
      <c r="AM53" s="42" t="s">
        <v>179</v>
      </c>
      <c r="AN53" s="12"/>
      <c r="AO53" s="12"/>
      <c r="AP53" s="12"/>
      <c r="AQ53" s="42"/>
      <c r="AR53" s="12"/>
      <c r="AS53" s="12"/>
      <c r="AT53" s="12"/>
      <c r="AU53" s="42"/>
      <c r="AV53" s="7">
        <v>48.4</v>
      </c>
      <c r="AW53" s="13">
        <v>46266</v>
      </c>
      <c r="AX53" s="13">
        <v>46266</v>
      </c>
      <c r="AY53" s="13">
        <v>46266</v>
      </c>
      <c r="BA53" s="2" t="s">
        <v>51</v>
      </c>
      <c r="BB53" s="2" t="s">
        <v>52</v>
      </c>
      <c r="BC53" s="2" t="s">
        <v>398</v>
      </c>
      <c r="BD53" s="2" t="s">
        <v>397</v>
      </c>
      <c r="BE53" s="43">
        <v>0.5</v>
      </c>
      <c r="BF53" s="4">
        <f t="shared" si="2"/>
        <v>1400469050</v>
      </c>
      <c r="BG53" s="4" t="str">
        <f t="shared" si="2"/>
        <v>EXCCL-585301</v>
      </c>
      <c r="BH53" s="14"/>
      <c r="BI53" s="33"/>
      <c r="BJ53" s="154"/>
    </row>
    <row r="54" spans="1:62" ht="15" customHeight="1" x14ac:dyDescent="0.35">
      <c r="A54" s="11"/>
      <c r="B54" s="148" t="s">
        <v>916</v>
      </c>
      <c r="C54" s="19" t="s">
        <v>197</v>
      </c>
      <c r="D54" s="12" t="s">
        <v>198</v>
      </c>
      <c r="E54" s="10">
        <v>1400894448</v>
      </c>
      <c r="F54" s="11" t="s">
        <v>719</v>
      </c>
      <c r="G54" s="13">
        <v>32593</v>
      </c>
      <c r="H54" s="11">
        <f>2026-1989</f>
        <v>37</v>
      </c>
      <c r="I54" s="2" t="s">
        <v>399</v>
      </c>
      <c r="J54" s="2" t="s">
        <v>44</v>
      </c>
      <c r="K54" s="2" t="s">
        <v>45</v>
      </c>
      <c r="L54" s="2" t="s">
        <v>46</v>
      </c>
      <c r="M54" s="2" t="s">
        <v>46</v>
      </c>
      <c r="N54" s="12" t="s">
        <v>557</v>
      </c>
      <c r="O54" s="2" t="s">
        <v>47</v>
      </c>
      <c r="P54" s="46" t="s">
        <v>744</v>
      </c>
      <c r="Q54" s="2" t="s">
        <v>638</v>
      </c>
      <c r="R54" s="2" t="s">
        <v>397</v>
      </c>
      <c r="S54" s="5">
        <v>45894</v>
      </c>
      <c r="T54" s="5">
        <v>46259</v>
      </c>
      <c r="U54" s="2">
        <v>12</v>
      </c>
      <c r="V54" s="40" t="s">
        <v>630</v>
      </c>
      <c r="AA54" s="41"/>
      <c r="AB54" s="2"/>
      <c r="AC54" s="2" t="s">
        <v>805</v>
      </c>
      <c r="AD54" s="2" t="s">
        <v>507</v>
      </c>
      <c r="AE54" s="4">
        <v>40</v>
      </c>
      <c r="AJ54" s="21" t="s">
        <v>194</v>
      </c>
      <c r="AK54" s="2" t="s">
        <v>49</v>
      </c>
      <c r="AL54" s="12" t="s">
        <v>46</v>
      </c>
      <c r="AM54" s="42" t="s">
        <v>78</v>
      </c>
      <c r="AN54" s="12"/>
      <c r="AO54" s="12"/>
      <c r="AP54" s="12"/>
      <c r="AQ54" s="42"/>
      <c r="AR54" s="12"/>
      <c r="AS54" s="12"/>
      <c r="AT54" s="12"/>
      <c r="AU54" s="42"/>
      <c r="AV54" s="7">
        <v>48.4</v>
      </c>
      <c r="AW54" s="13">
        <v>46266</v>
      </c>
      <c r="AX54" s="13">
        <v>46266</v>
      </c>
      <c r="AY54" s="13">
        <v>46266</v>
      </c>
      <c r="BA54" s="2" t="s">
        <v>51</v>
      </c>
      <c r="BB54" s="2" t="s">
        <v>52</v>
      </c>
      <c r="BC54" s="2" t="s">
        <v>398</v>
      </c>
      <c r="BD54" s="2" t="s">
        <v>397</v>
      </c>
      <c r="BE54" s="43">
        <v>0.5</v>
      </c>
      <c r="BF54" s="4">
        <f t="shared" si="2"/>
        <v>1400894448</v>
      </c>
      <c r="BG54" s="4" t="str">
        <f t="shared" si="2"/>
        <v>EXCCL-9647874</v>
      </c>
      <c r="BH54" s="14"/>
      <c r="BI54" s="33"/>
      <c r="BJ54" s="154"/>
    </row>
    <row r="55" spans="1:62" ht="15" customHeight="1" x14ac:dyDescent="0.35">
      <c r="A55" s="11"/>
      <c r="B55" s="148" t="s">
        <v>917</v>
      </c>
      <c r="C55" s="19" t="s">
        <v>199</v>
      </c>
      <c r="D55" s="12" t="s">
        <v>200</v>
      </c>
      <c r="E55" s="10">
        <v>1400408389</v>
      </c>
      <c r="F55" s="11" t="s">
        <v>720</v>
      </c>
      <c r="G55" s="13">
        <v>27037</v>
      </c>
      <c r="H55" s="11">
        <f>2026-1974</f>
        <v>52</v>
      </c>
      <c r="I55" s="2" t="s">
        <v>399</v>
      </c>
      <c r="J55" s="2" t="s">
        <v>44</v>
      </c>
      <c r="K55" s="2" t="s">
        <v>45</v>
      </c>
      <c r="L55" s="2" t="s">
        <v>46</v>
      </c>
      <c r="M55" s="2" t="s">
        <v>46</v>
      </c>
      <c r="N55" s="12" t="s">
        <v>558</v>
      </c>
      <c r="O55" s="2" t="s">
        <v>47</v>
      </c>
      <c r="P55" s="46" t="s">
        <v>745</v>
      </c>
      <c r="Q55" s="2" t="s">
        <v>638</v>
      </c>
      <c r="R55" s="2" t="s">
        <v>397</v>
      </c>
      <c r="S55" s="5">
        <v>45894</v>
      </c>
      <c r="T55" s="5">
        <v>46259</v>
      </c>
      <c r="U55" s="2">
        <v>12</v>
      </c>
      <c r="V55" s="40" t="s">
        <v>630</v>
      </c>
      <c r="AA55" s="41"/>
      <c r="AB55" s="2"/>
      <c r="AC55" s="2" t="s">
        <v>805</v>
      </c>
      <c r="AD55" s="2" t="s">
        <v>507</v>
      </c>
      <c r="AE55" s="4">
        <v>40</v>
      </c>
      <c r="AJ55" s="21" t="s">
        <v>201</v>
      </c>
      <c r="AK55" s="2" t="s">
        <v>49</v>
      </c>
      <c r="AL55" s="12" t="s">
        <v>412</v>
      </c>
      <c r="AM55" s="42" t="s">
        <v>78</v>
      </c>
      <c r="AN55" s="12"/>
      <c r="AO55" s="12"/>
      <c r="AP55" s="12"/>
      <c r="AQ55" s="42"/>
      <c r="AR55" s="12"/>
      <c r="AS55" s="12"/>
      <c r="AT55" s="12"/>
      <c r="AU55" s="42"/>
      <c r="AV55" s="7">
        <v>48.4</v>
      </c>
      <c r="AW55" s="13">
        <v>46266</v>
      </c>
      <c r="AX55" s="13">
        <v>46266</v>
      </c>
      <c r="AY55" s="13">
        <v>46266</v>
      </c>
      <c r="BA55" s="2" t="s">
        <v>51</v>
      </c>
      <c r="BB55" s="2" t="s">
        <v>52</v>
      </c>
      <c r="BC55" s="2" t="s">
        <v>398</v>
      </c>
      <c r="BD55" s="2" t="s">
        <v>397</v>
      </c>
      <c r="BE55" s="43">
        <v>0.5</v>
      </c>
      <c r="BF55" s="4">
        <f t="shared" si="2"/>
        <v>1400408389</v>
      </c>
      <c r="BG55" s="4" t="str">
        <f t="shared" si="2"/>
        <v>EXCCL-5571695</v>
      </c>
      <c r="BH55" s="14"/>
      <c r="BI55" s="33"/>
      <c r="BJ55" s="154"/>
    </row>
    <row r="56" spans="1:62" ht="15" customHeight="1" x14ac:dyDescent="0.35">
      <c r="A56" s="11" t="s">
        <v>57</v>
      </c>
      <c r="B56" s="148" t="s">
        <v>918</v>
      </c>
      <c r="C56" s="19" t="s">
        <v>202</v>
      </c>
      <c r="D56" s="12" t="s">
        <v>203</v>
      </c>
      <c r="E56" s="10">
        <v>1600880353</v>
      </c>
      <c r="F56" s="11" t="s">
        <v>721</v>
      </c>
      <c r="G56" s="13">
        <v>33834</v>
      </c>
      <c r="H56" s="11">
        <f>2026-1992</f>
        <v>34</v>
      </c>
      <c r="I56" s="2" t="s">
        <v>399</v>
      </c>
      <c r="J56" s="2" t="s">
        <v>44</v>
      </c>
      <c r="K56" s="2" t="s">
        <v>45</v>
      </c>
      <c r="L56" s="2" t="s">
        <v>46</v>
      </c>
      <c r="M56" s="2" t="s">
        <v>46</v>
      </c>
      <c r="N56" s="12" t="s">
        <v>559</v>
      </c>
      <c r="O56" s="2" t="s">
        <v>47</v>
      </c>
      <c r="P56" s="46" t="s">
        <v>746</v>
      </c>
      <c r="Q56" s="2" t="s">
        <v>638</v>
      </c>
      <c r="R56" s="2" t="s">
        <v>397</v>
      </c>
      <c r="S56" s="5">
        <v>45894</v>
      </c>
      <c r="T56" s="5">
        <v>46259</v>
      </c>
      <c r="U56" s="2">
        <v>12</v>
      </c>
      <c r="V56" s="40" t="s">
        <v>629</v>
      </c>
      <c r="AA56" s="41"/>
      <c r="AB56" s="2"/>
      <c r="AC56" s="2" t="s">
        <v>805</v>
      </c>
      <c r="AD56" s="2" t="s">
        <v>507</v>
      </c>
      <c r="AE56" s="4">
        <v>40</v>
      </c>
      <c r="AF56" s="2" t="s">
        <v>626</v>
      </c>
      <c r="AG56" s="2" t="s">
        <v>49</v>
      </c>
      <c r="AH56" s="2" t="s">
        <v>627</v>
      </c>
      <c r="AJ56" s="21"/>
      <c r="AK56" s="12"/>
      <c r="AL56" s="12"/>
      <c r="AM56" s="42"/>
      <c r="AN56" s="12"/>
      <c r="AO56" s="12"/>
      <c r="AP56" s="12"/>
      <c r="AQ56" s="42"/>
      <c r="AR56" s="12"/>
      <c r="AS56" s="12"/>
      <c r="AT56" s="12"/>
      <c r="AU56" s="42"/>
      <c r="AV56" s="7">
        <v>48.4</v>
      </c>
      <c r="AW56" s="13">
        <v>46266</v>
      </c>
      <c r="AX56" s="13">
        <v>46266</v>
      </c>
      <c r="AY56" s="13">
        <v>46266</v>
      </c>
      <c r="BA56" s="2" t="s">
        <v>51</v>
      </c>
      <c r="BB56" s="2" t="s">
        <v>52</v>
      </c>
      <c r="BC56" s="2" t="s">
        <v>398</v>
      </c>
      <c r="BD56" s="2" t="s">
        <v>397</v>
      </c>
      <c r="BE56" s="43">
        <v>0.5</v>
      </c>
      <c r="BF56" s="4">
        <f t="shared" si="2"/>
        <v>1600880353</v>
      </c>
      <c r="BG56" s="4" t="str">
        <f t="shared" si="2"/>
        <v>EXCCL-4578958</v>
      </c>
      <c r="BH56" s="14"/>
      <c r="BI56" s="33"/>
      <c r="BJ56" s="154"/>
    </row>
    <row r="57" spans="1:62" ht="15" customHeight="1" x14ac:dyDescent="0.35">
      <c r="A57" s="11"/>
      <c r="B57" s="148" t="s">
        <v>919</v>
      </c>
      <c r="C57" s="19" t="s">
        <v>204</v>
      </c>
      <c r="D57" s="12" t="s">
        <v>205</v>
      </c>
      <c r="E57" s="10">
        <v>1601006271</v>
      </c>
      <c r="F57" s="11" t="s">
        <v>722</v>
      </c>
      <c r="G57" s="13">
        <v>35507</v>
      </c>
      <c r="H57" s="11">
        <f>2026-1997</f>
        <v>29</v>
      </c>
      <c r="I57" s="2" t="s">
        <v>399</v>
      </c>
      <c r="J57" s="2" t="s">
        <v>44</v>
      </c>
      <c r="K57" s="2" t="s">
        <v>45</v>
      </c>
      <c r="L57" s="2" t="s">
        <v>46</v>
      </c>
      <c r="M57" s="2" t="s">
        <v>46</v>
      </c>
      <c r="N57" s="12" t="s">
        <v>560</v>
      </c>
      <c r="O57" s="2" t="s">
        <v>47</v>
      </c>
      <c r="P57" s="46" t="s">
        <v>747</v>
      </c>
      <c r="Q57" s="2" t="s">
        <v>638</v>
      </c>
      <c r="R57" s="2" t="s">
        <v>397</v>
      </c>
      <c r="S57" s="5">
        <v>45894</v>
      </c>
      <c r="T57" s="5">
        <v>46259</v>
      </c>
      <c r="U57" s="2">
        <v>12</v>
      </c>
      <c r="V57" s="40" t="s">
        <v>629</v>
      </c>
      <c r="AA57" s="41"/>
      <c r="AB57" s="2"/>
      <c r="AC57" s="2" t="s">
        <v>805</v>
      </c>
      <c r="AD57" s="2" t="s">
        <v>507</v>
      </c>
      <c r="AE57" s="4">
        <v>40</v>
      </c>
      <c r="AJ57" s="21" t="s">
        <v>206</v>
      </c>
      <c r="AK57" s="2" t="s">
        <v>49</v>
      </c>
      <c r="AL57" s="12" t="s">
        <v>407</v>
      </c>
      <c r="AM57" s="42" t="s">
        <v>78</v>
      </c>
      <c r="AN57" s="12"/>
      <c r="AO57" s="12"/>
      <c r="AP57" s="12"/>
      <c r="AQ57" s="42"/>
      <c r="AR57" s="12"/>
      <c r="AS57" s="12"/>
      <c r="AT57" s="12"/>
      <c r="AU57" s="42"/>
      <c r="AV57" s="7">
        <v>48.4</v>
      </c>
      <c r="AW57" s="13">
        <v>46266</v>
      </c>
      <c r="AX57" s="13">
        <v>46266</v>
      </c>
      <c r="AY57" s="13">
        <v>46266</v>
      </c>
      <c r="BA57" s="2" t="s">
        <v>51</v>
      </c>
      <c r="BB57" s="2" t="s">
        <v>52</v>
      </c>
      <c r="BC57" s="2" t="s">
        <v>398</v>
      </c>
      <c r="BD57" s="2" t="s">
        <v>397</v>
      </c>
      <c r="BE57" s="43">
        <v>0.5</v>
      </c>
      <c r="BF57" s="4">
        <f t="shared" si="2"/>
        <v>1601006271</v>
      </c>
      <c r="BG57" s="4" t="str">
        <f t="shared" si="2"/>
        <v>EXCCL-6969457</v>
      </c>
      <c r="BH57" s="14"/>
      <c r="BI57" s="33"/>
      <c r="BJ57" s="154"/>
    </row>
    <row r="58" spans="1:62" ht="15" customHeight="1" x14ac:dyDescent="0.35">
      <c r="A58" s="11"/>
      <c r="B58" s="148" t="s">
        <v>920</v>
      </c>
      <c r="C58" s="19" t="s">
        <v>207</v>
      </c>
      <c r="D58" s="12" t="s">
        <v>208</v>
      </c>
      <c r="E58" s="10">
        <v>1400977102</v>
      </c>
      <c r="F58" s="11" t="s">
        <v>723</v>
      </c>
      <c r="G58" s="13">
        <v>37947</v>
      </c>
      <c r="H58" s="11">
        <f>2026-2003</f>
        <v>23</v>
      </c>
      <c r="I58" s="2" t="s">
        <v>399</v>
      </c>
      <c r="J58" s="2" t="s">
        <v>44</v>
      </c>
      <c r="K58" s="2" t="s">
        <v>45</v>
      </c>
      <c r="L58" s="2" t="s">
        <v>46</v>
      </c>
      <c r="M58" s="2" t="s">
        <v>46</v>
      </c>
      <c r="N58" s="12" t="s">
        <v>561</v>
      </c>
      <c r="O58" s="2" t="s">
        <v>47</v>
      </c>
      <c r="P58" s="46" t="s">
        <v>748</v>
      </c>
      <c r="Q58" s="2" t="s">
        <v>638</v>
      </c>
      <c r="R58" s="2" t="s">
        <v>397</v>
      </c>
      <c r="S58" s="5">
        <v>45894</v>
      </c>
      <c r="T58" s="5">
        <v>46259</v>
      </c>
      <c r="U58" s="2">
        <v>12</v>
      </c>
      <c r="V58" s="40" t="s">
        <v>629</v>
      </c>
      <c r="AA58" s="41"/>
      <c r="AB58" s="2"/>
      <c r="AC58" s="2" t="s">
        <v>805</v>
      </c>
      <c r="AD58" s="2" t="s">
        <v>507</v>
      </c>
      <c r="AE58" s="4">
        <v>40</v>
      </c>
      <c r="AJ58" s="21" t="s">
        <v>209</v>
      </c>
      <c r="AK58" s="2" t="s">
        <v>49</v>
      </c>
      <c r="AL58" s="12" t="s">
        <v>413</v>
      </c>
      <c r="AM58" s="42" t="s">
        <v>78</v>
      </c>
      <c r="AN58" s="12"/>
      <c r="AO58" s="12"/>
      <c r="AP58" s="12"/>
      <c r="AQ58" s="42"/>
      <c r="AR58" s="12"/>
      <c r="AS58" s="12"/>
      <c r="AT58" s="12"/>
      <c r="AU58" s="42"/>
      <c r="AV58" s="7">
        <v>48.4</v>
      </c>
      <c r="AW58" s="13">
        <v>46266</v>
      </c>
      <c r="AX58" s="13">
        <v>46266</v>
      </c>
      <c r="AY58" s="13">
        <v>46266</v>
      </c>
      <c r="BA58" s="2" t="s">
        <v>51</v>
      </c>
      <c r="BB58" s="2" t="s">
        <v>52</v>
      </c>
      <c r="BC58" s="2" t="s">
        <v>398</v>
      </c>
      <c r="BD58" s="2" t="s">
        <v>397</v>
      </c>
      <c r="BE58" s="43">
        <v>0.5</v>
      </c>
      <c r="BF58" s="4">
        <f t="shared" si="2"/>
        <v>1400977102</v>
      </c>
      <c r="BG58" s="4" t="str">
        <f t="shared" si="2"/>
        <v>EXCCL-6387902</v>
      </c>
      <c r="BH58" s="14"/>
      <c r="BI58" s="33"/>
      <c r="BJ58" s="154"/>
    </row>
    <row r="59" spans="1:62" ht="15" customHeight="1" x14ac:dyDescent="0.35">
      <c r="A59" s="11"/>
      <c r="B59" s="148" t="s">
        <v>921</v>
      </c>
      <c r="C59" s="19" t="s">
        <v>210</v>
      </c>
      <c r="D59" s="12" t="s">
        <v>211</v>
      </c>
      <c r="E59" s="10">
        <v>1400408645</v>
      </c>
      <c r="F59" s="11" t="s">
        <v>724</v>
      </c>
      <c r="G59" s="13">
        <v>27565</v>
      </c>
      <c r="H59" s="11">
        <f>2026-1975</f>
        <v>51</v>
      </c>
      <c r="I59" s="2" t="s">
        <v>399</v>
      </c>
      <c r="J59" s="2" t="s">
        <v>44</v>
      </c>
      <c r="K59" s="2" t="s">
        <v>45</v>
      </c>
      <c r="L59" s="2" t="s">
        <v>46</v>
      </c>
      <c r="M59" s="2" t="s">
        <v>46</v>
      </c>
      <c r="N59" s="12" t="s">
        <v>562</v>
      </c>
      <c r="O59" s="2" t="s">
        <v>47</v>
      </c>
      <c r="P59" s="46" t="s">
        <v>728</v>
      </c>
      <c r="Q59" s="2" t="s">
        <v>638</v>
      </c>
      <c r="R59" s="2" t="s">
        <v>397</v>
      </c>
      <c r="S59" s="5">
        <v>45894</v>
      </c>
      <c r="T59" s="5">
        <v>46259</v>
      </c>
      <c r="U59" s="2">
        <v>12</v>
      </c>
      <c r="V59" s="40" t="s">
        <v>630</v>
      </c>
      <c r="AA59" s="41"/>
      <c r="AB59" s="2"/>
      <c r="AC59" s="2" t="s">
        <v>805</v>
      </c>
      <c r="AD59" s="2" t="s">
        <v>507</v>
      </c>
      <c r="AE59" s="4">
        <v>40</v>
      </c>
      <c r="AJ59" s="21" t="s">
        <v>131</v>
      </c>
      <c r="AK59" s="2" t="s">
        <v>49</v>
      </c>
      <c r="AL59" s="12" t="s">
        <v>404</v>
      </c>
      <c r="AM59" s="42" t="s">
        <v>78</v>
      </c>
      <c r="AN59" s="12"/>
      <c r="AO59" s="12"/>
      <c r="AP59" s="12"/>
      <c r="AQ59" s="42"/>
      <c r="AR59" s="12"/>
      <c r="AS59" s="12"/>
      <c r="AT59" s="12"/>
      <c r="AU59" s="42"/>
      <c r="AV59" s="7">
        <v>48.4</v>
      </c>
      <c r="AW59" s="13">
        <v>46266</v>
      </c>
      <c r="AX59" s="13">
        <v>46266</v>
      </c>
      <c r="AY59" s="13">
        <v>46266</v>
      </c>
      <c r="BA59" s="2" t="s">
        <v>51</v>
      </c>
      <c r="BB59" s="2" t="s">
        <v>52</v>
      </c>
      <c r="BC59" s="2" t="s">
        <v>398</v>
      </c>
      <c r="BD59" s="2" t="s">
        <v>397</v>
      </c>
      <c r="BE59" s="43">
        <v>0.5</v>
      </c>
      <c r="BF59" s="4">
        <f t="shared" si="2"/>
        <v>1400408645</v>
      </c>
      <c r="BG59" s="4" t="str">
        <f t="shared" si="2"/>
        <v>EXCCL-2574259</v>
      </c>
      <c r="BH59" s="14"/>
      <c r="BI59" s="33"/>
      <c r="BJ59" s="154"/>
    </row>
    <row r="60" spans="1:62" ht="15" customHeight="1" x14ac:dyDescent="0.35">
      <c r="A60" s="11"/>
      <c r="B60" s="148" t="s">
        <v>922</v>
      </c>
      <c r="C60" s="19" t="s">
        <v>212</v>
      </c>
      <c r="D60" s="12" t="s">
        <v>213</v>
      </c>
      <c r="E60" s="10">
        <v>1450299027</v>
      </c>
      <c r="F60" s="11" t="s">
        <v>733</v>
      </c>
      <c r="G60" s="13">
        <v>38579</v>
      </c>
      <c r="H60" s="11">
        <f>2026-2005</f>
        <v>21</v>
      </c>
      <c r="I60" s="2" t="s">
        <v>399</v>
      </c>
      <c r="J60" s="2" t="s">
        <v>44</v>
      </c>
      <c r="K60" s="2" t="s">
        <v>45</v>
      </c>
      <c r="L60" s="2" t="s">
        <v>46</v>
      </c>
      <c r="M60" s="2" t="s">
        <v>46</v>
      </c>
      <c r="N60" s="12" t="s">
        <v>563</v>
      </c>
      <c r="O60" s="2" t="s">
        <v>47</v>
      </c>
      <c r="P60" s="46" t="s">
        <v>729</v>
      </c>
      <c r="Q60" s="2" t="s">
        <v>638</v>
      </c>
      <c r="R60" s="2" t="s">
        <v>397</v>
      </c>
      <c r="S60" s="5">
        <v>45894</v>
      </c>
      <c r="T60" s="5">
        <v>46259</v>
      </c>
      <c r="U60" s="2">
        <v>12</v>
      </c>
      <c r="V60" s="40" t="s">
        <v>629</v>
      </c>
      <c r="AA60" s="41"/>
      <c r="AB60" s="2"/>
      <c r="AC60" s="2" t="s">
        <v>805</v>
      </c>
      <c r="AD60" s="2" t="s">
        <v>507</v>
      </c>
      <c r="AE60" s="4">
        <v>40</v>
      </c>
      <c r="AJ60" s="21" t="s">
        <v>214</v>
      </c>
      <c r="AK60" s="2" t="s">
        <v>49</v>
      </c>
      <c r="AL60" s="12" t="s">
        <v>414</v>
      </c>
      <c r="AM60" s="42" t="s">
        <v>78</v>
      </c>
      <c r="AN60" s="12"/>
      <c r="AO60" s="12"/>
      <c r="AP60" s="12"/>
      <c r="AQ60" s="42"/>
      <c r="AR60" s="12"/>
      <c r="AS60" s="12"/>
      <c r="AT60" s="12"/>
      <c r="AU60" s="42"/>
      <c r="AV60" s="7">
        <v>48.4</v>
      </c>
      <c r="AW60" s="13">
        <v>46266</v>
      </c>
      <c r="AX60" s="13">
        <v>46266</v>
      </c>
      <c r="AY60" s="13">
        <v>46266</v>
      </c>
      <c r="BA60" s="2" t="s">
        <v>51</v>
      </c>
      <c r="BB60" s="2" t="s">
        <v>52</v>
      </c>
      <c r="BC60" s="2" t="s">
        <v>398</v>
      </c>
      <c r="BD60" s="2" t="s">
        <v>397</v>
      </c>
      <c r="BE60" s="43">
        <v>0.5</v>
      </c>
      <c r="BF60" s="4">
        <f t="shared" si="2"/>
        <v>1450299027</v>
      </c>
      <c r="BG60" s="4" t="str">
        <f t="shared" si="2"/>
        <v>EXCCL-5980722</v>
      </c>
      <c r="BH60" s="14"/>
      <c r="BI60" s="33"/>
      <c r="BJ60" s="154"/>
    </row>
    <row r="61" spans="1:62" ht="15" customHeight="1" x14ac:dyDescent="0.35">
      <c r="A61" s="11"/>
      <c r="B61" s="148" t="s">
        <v>923</v>
      </c>
      <c r="C61" s="19" t="s">
        <v>215</v>
      </c>
      <c r="D61" s="12" t="s">
        <v>216</v>
      </c>
      <c r="E61" s="10">
        <v>1600830606</v>
      </c>
      <c r="F61" s="11" t="s">
        <v>727</v>
      </c>
      <c r="G61" s="13">
        <v>34620</v>
      </c>
      <c r="H61" s="11">
        <f>2026-1994</f>
        <v>32</v>
      </c>
      <c r="I61" s="2" t="s">
        <v>399</v>
      </c>
      <c r="J61" s="2" t="s">
        <v>44</v>
      </c>
      <c r="K61" s="2" t="s">
        <v>45</v>
      </c>
      <c r="L61" s="2" t="s">
        <v>46</v>
      </c>
      <c r="M61" s="2" t="s">
        <v>46</v>
      </c>
      <c r="N61" s="12" t="s">
        <v>564</v>
      </c>
      <c r="O61" s="2" t="s">
        <v>47</v>
      </c>
      <c r="P61" s="46" t="s">
        <v>730</v>
      </c>
      <c r="Q61" s="2" t="s">
        <v>638</v>
      </c>
      <c r="R61" s="2" t="s">
        <v>397</v>
      </c>
      <c r="S61" s="5">
        <v>45894</v>
      </c>
      <c r="T61" s="5">
        <v>46259</v>
      </c>
      <c r="U61" s="2">
        <v>12</v>
      </c>
      <c r="V61" s="40" t="s">
        <v>630</v>
      </c>
      <c r="AA61" s="41"/>
      <c r="AB61" s="2"/>
      <c r="AC61" s="2" t="s">
        <v>805</v>
      </c>
      <c r="AD61" s="2" t="s">
        <v>507</v>
      </c>
      <c r="AE61" s="4">
        <v>40</v>
      </c>
      <c r="AJ61" s="21" t="s">
        <v>217</v>
      </c>
      <c r="AK61" s="2" t="s">
        <v>49</v>
      </c>
      <c r="AL61" s="12" t="s">
        <v>415</v>
      </c>
      <c r="AM61" s="42" t="s">
        <v>78</v>
      </c>
      <c r="AN61" s="12"/>
      <c r="AO61" s="12"/>
      <c r="AP61" s="12"/>
      <c r="AQ61" s="42"/>
      <c r="AR61" s="12"/>
      <c r="AS61" s="12"/>
      <c r="AT61" s="12"/>
      <c r="AU61" s="42"/>
      <c r="AV61" s="7">
        <v>48.4</v>
      </c>
      <c r="AW61" s="13">
        <v>46266</v>
      </c>
      <c r="AX61" s="13">
        <v>46266</v>
      </c>
      <c r="AY61" s="13">
        <v>46266</v>
      </c>
      <c r="BA61" s="2" t="s">
        <v>51</v>
      </c>
      <c r="BB61" s="2" t="s">
        <v>52</v>
      </c>
      <c r="BC61" s="2" t="s">
        <v>398</v>
      </c>
      <c r="BD61" s="2" t="s">
        <v>397</v>
      </c>
      <c r="BE61" s="43">
        <v>0.5</v>
      </c>
      <c r="BF61" s="4">
        <f t="shared" si="2"/>
        <v>1600830606</v>
      </c>
      <c r="BG61" s="4" t="str">
        <f t="shared" si="2"/>
        <v>EXCCL-4377399</v>
      </c>
      <c r="BH61" s="14"/>
      <c r="BI61" s="33"/>
      <c r="BJ61" s="154"/>
    </row>
    <row r="62" spans="1:62" ht="15" customHeight="1" thickBot="1" x14ac:dyDescent="0.4">
      <c r="A62" s="11"/>
      <c r="B62" s="149" t="s">
        <v>924</v>
      </c>
      <c r="C62" s="48" t="s">
        <v>218</v>
      </c>
      <c r="D62" s="49" t="s">
        <v>219</v>
      </c>
      <c r="E62" s="50">
        <v>1400805709</v>
      </c>
      <c r="F62" s="51" t="s">
        <v>734</v>
      </c>
      <c r="G62" s="61">
        <v>33264</v>
      </c>
      <c r="H62" s="51">
        <f>2026-1991</f>
        <v>35</v>
      </c>
      <c r="I62" s="52" t="s">
        <v>399</v>
      </c>
      <c r="J62" s="52" t="s">
        <v>44</v>
      </c>
      <c r="K62" s="52" t="s">
        <v>45</v>
      </c>
      <c r="L62" s="52" t="s">
        <v>46</v>
      </c>
      <c r="M62" s="52" t="s">
        <v>46</v>
      </c>
      <c r="N62" s="49" t="s">
        <v>565</v>
      </c>
      <c r="O62" s="52" t="s">
        <v>47</v>
      </c>
      <c r="P62" s="54" t="s">
        <v>749</v>
      </c>
      <c r="Q62" s="52" t="s">
        <v>638</v>
      </c>
      <c r="R62" s="52" t="s">
        <v>397</v>
      </c>
      <c r="S62" s="62">
        <v>45894</v>
      </c>
      <c r="T62" s="62">
        <v>46259</v>
      </c>
      <c r="U62" s="52">
        <v>12</v>
      </c>
      <c r="V62" s="63" t="s">
        <v>630</v>
      </c>
      <c r="W62" s="64"/>
      <c r="X62" s="64"/>
      <c r="Y62" s="64"/>
      <c r="Z62" s="64"/>
      <c r="AA62" s="65"/>
      <c r="AB62" s="52"/>
      <c r="AC62" s="52" t="s">
        <v>805</v>
      </c>
      <c r="AD62" s="52" t="s">
        <v>507</v>
      </c>
      <c r="AE62" s="53">
        <v>40</v>
      </c>
      <c r="AF62" s="64"/>
      <c r="AG62" s="64"/>
      <c r="AH62" s="64"/>
      <c r="AI62" s="64"/>
      <c r="AJ62" s="103" t="s">
        <v>131</v>
      </c>
      <c r="AK62" s="52" t="s">
        <v>49</v>
      </c>
      <c r="AL62" s="49" t="s">
        <v>404</v>
      </c>
      <c r="AM62" s="66" t="s">
        <v>220</v>
      </c>
      <c r="AN62" s="49"/>
      <c r="AO62" s="49"/>
      <c r="AP62" s="49"/>
      <c r="AQ62" s="66"/>
      <c r="AR62" s="49"/>
      <c r="AS62" s="49"/>
      <c r="AT62" s="49"/>
      <c r="AU62" s="66"/>
      <c r="AV62" s="67">
        <v>48.4</v>
      </c>
      <c r="AW62" s="61">
        <v>46266</v>
      </c>
      <c r="AX62" s="61">
        <v>46266</v>
      </c>
      <c r="AY62" s="61">
        <v>46266</v>
      </c>
      <c r="AZ62" s="64"/>
      <c r="BA62" s="52" t="s">
        <v>51</v>
      </c>
      <c r="BB62" s="52" t="s">
        <v>52</v>
      </c>
      <c r="BC62" s="52" t="s">
        <v>398</v>
      </c>
      <c r="BD62" s="52" t="s">
        <v>397</v>
      </c>
      <c r="BE62" s="55">
        <v>0.5</v>
      </c>
      <c r="BF62" s="53">
        <f t="shared" si="2"/>
        <v>1400805709</v>
      </c>
      <c r="BG62" s="53" t="str">
        <f t="shared" si="2"/>
        <v>EXCCL-6199995</v>
      </c>
      <c r="BH62" s="104"/>
      <c r="BI62" s="105"/>
      <c r="BJ62" s="154"/>
    </row>
    <row r="63" spans="1:62" ht="15" customHeight="1" x14ac:dyDescent="0.35">
      <c r="A63" s="11" t="s">
        <v>94</v>
      </c>
      <c r="B63" s="150" t="s">
        <v>925</v>
      </c>
      <c r="C63" s="19" t="s">
        <v>221</v>
      </c>
      <c r="D63" s="12" t="s">
        <v>222</v>
      </c>
      <c r="E63" s="16" t="s">
        <v>223</v>
      </c>
      <c r="F63" s="11" t="s">
        <v>735</v>
      </c>
      <c r="G63" s="13">
        <v>29485</v>
      </c>
      <c r="H63" s="11">
        <f>2026-1980</f>
        <v>46</v>
      </c>
      <c r="I63" s="2" t="s">
        <v>399</v>
      </c>
      <c r="J63" s="2" t="s">
        <v>44</v>
      </c>
      <c r="K63" s="12" t="s">
        <v>45</v>
      </c>
      <c r="L63" s="2" t="s">
        <v>46</v>
      </c>
      <c r="M63" s="2" t="s">
        <v>46</v>
      </c>
      <c r="N63" s="12" t="s">
        <v>566</v>
      </c>
      <c r="O63" s="2" t="s">
        <v>47</v>
      </c>
      <c r="P63" s="46" t="s">
        <v>750</v>
      </c>
      <c r="Q63" s="2" t="s">
        <v>638</v>
      </c>
      <c r="R63" s="2" t="s">
        <v>397</v>
      </c>
      <c r="S63" s="5">
        <v>45894</v>
      </c>
      <c r="T63" s="5">
        <v>46259</v>
      </c>
      <c r="U63" s="2">
        <v>12</v>
      </c>
      <c r="V63" s="40" t="s">
        <v>630</v>
      </c>
      <c r="AA63" s="41"/>
      <c r="AB63" s="2"/>
      <c r="AC63" s="2" t="s">
        <v>805</v>
      </c>
      <c r="AD63" s="2" t="s">
        <v>507</v>
      </c>
      <c r="AE63" s="4">
        <v>40</v>
      </c>
      <c r="AF63" s="2"/>
      <c r="AG63" s="2"/>
      <c r="AH63" s="2"/>
      <c r="AJ63" s="21"/>
      <c r="AK63" s="12"/>
      <c r="AL63" s="12"/>
      <c r="AM63" s="42"/>
      <c r="AN63" s="12" t="s">
        <v>224</v>
      </c>
      <c r="AO63" s="2" t="s">
        <v>49</v>
      </c>
      <c r="AP63" s="12" t="s">
        <v>416</v>
      </c>
      <c r="AQ63" s="42" t="s">
        <v>225</v>
      </c>
      <c r="AR63" s="12"/>
      <c r="AS63" s="12"/>
      <c r="AT63" s="12"/>
      <c r="AU63" s="42"/>
      <c r="AV63" s="7">
        <v>48.4</v>
      </c>
      <c r="AW63" s="13">
        <v>46266</v>
      </c>
      <c r="AX63" s="13">
        <v>46266</v>
      </c>
      <c r="AY63" s="13">
        <v>46266</v>
      </c>
      <c r="BA63" s="2" t="s">
        <v>51</v>
      </c>
      <c r="BB63" s="2" t="s">
        <v>52</v>
      </c>
      <c r="BC63" s="2" t="s">
        <v>398</v>
      </c>
      <c r="BD63" s="2" t="s">
        <v>397</v>
      </c>
      <c r="BE63" s="43">
        <v>0.5</v>
      </c>
      <c r="BF63" s="4" t="str">
        <f t="shared" si="2"/>
        <v>0103558565</v>
      </c>
      <c r="BG63" s="11" t="str">
        <f t="shared" si="2"/>
        <v>EXCCL-1533976</v>
      </c>
      <c r="BH63" s="14"/>
      <c r="BI63" s="33"/>
      <c r="BJ63" s="155" t="s">
        <v>726</v>
      </c>
    </row>
    <row r="64" spans="1:62" ht="15" customHeight="1" x14ac:dyDescent="0.35">
      <c r="A64" s="11" t="s">
        <v>226</v>
      </c>
      <c r="B64" s="148" t="s">
        <v>926</v>
      </c>
      <c r="C64" s="19" t="s">
        <v>227</v>
      </c>
      <c r="D64" s="12" t="s">
        <v>228</v>
      </c>
      <c r="E64" s="17" t="s">
        <v>229</v>
      </c>
      <c r="F64" s="11" t="s">
        <v>736</v>
      </c>
      <c r="G64" s="13">
        <v>29344</v>
      </c>
      <c r="H64" s="11">
        <f>2026-1980</f>
        <v>46</v>
      </c>
      <c r="I64" s="2" t="s">
        <v>399</v>
      </c>
      <c r="J64" s="2" t="s">
        <v>44</v>
      </c>
      <c r="K64" s="12" t="s">
        <v>45</v>
      </c>
      <c r="L64" s="2" t="s">
        <v>46</v>
      </c>
      <c r="M64" s="2" t="s">
        <v>46</v>
      </c>
      <c r="N64" s="12" t="s">
        <v>567</v>
      </c>
      <c r="O64" s="2" t="s">
        <v>47</v>
      </c>
      <c r="P64" s="46" t="s">
        <v>751</v>
      </c>
      <c r="Q64" s="2" t="s">
        <v>638</v>
      </c>
      <c r="R64" s="2" t="s">
        <v>397</v>
      </c>
      <c r="S64" s="5">
        <v>45894</v>
      </c>
      <c r="T64" s="5">
        <v>46259</v>
      </c>
      <c r="U64" s="2">
        <v>12</v>
      </c>
      <c r="V64" s="40" t="s">
        <v>632</v>
      </c>
      <c r="AA64" s="41"/>
      <c r="AB64" s="2"/>
      <c r="AC64" s="2" t="s">
        <v>805</v>
      </c>
      <c r="AD64" s="2" t="s">
        <v>507</v>
      </c>
      <c r="AE64" s="4">
        <v>40</v>
      </c>
      <c r="AJ64" s="21" t="s">
        <v>230</v>
      </c>
      <c r="AK64" s="2" t="s">
        <v>49</v>
      </c>
      <c r="AL64" s="12" t="s">
        <v>416</v>
      </c>
      <c r="AM64" s="42" t="s">
        <v>78</v>
      </c>
      <c r="AN64" s="12" t="s">
        <v>231</v>
      </c>
      <c r="AO64" s="2" t="s">
        <v>49</v>
      </c>
      <c r="AP64" s="12" t="s">
        <v>416</v>
      </c>
      <c r="AQ64" s="42" t="s">
        <v>232</v>
      </c>
      <c r="AR64" s="12" t="s">
        <v>233</v>
      </c>
      <c r="AS64" s="12" t="s">
        <v>421</v>
      </c>
      <c r="AT64" s="12" t="s">
        <v>419</v>
      </c>
      <c r="AU64" s="42" t="s">
        <v>234</v>
      </c>
      <c r="AV64" s="7">
        <v>48.4</v>
      </c>
      <c r="AW64" s="13">
        <v>46266</v>
      </c>
      <c r="AX64" s="13">
        <v>46266</v>
      </c>
      <c r="AY64" s="13">
        <v>46266</v>
      </c>
      <c r="BA64" s="2" t="s">
        <v>51</v>
      </c>
      <c r="BB64" s="2" t="s">
        <v>52</v>
      </c>
      <c r="BC64" s="2" t="s">
        <v>398</v>
      </c>
      <c r="BD64" s="2" t="s">
        <v>397</v>
      </c>
      <c r="BE64" s="43">
        <v>0.5</v>
      </c>
      <c r="BF64" s="4" t="str">
        <f t="shared" si="2"/>
        <v>0103538856</v>
      </c>
      <c r="BG64" s="11" t="str">
        <f t="shared" si="2"/>
        <v>EXCCL-2206305</v>
      </c>
      <c r="BH64" s="11"/>
      <c r="BI64" s="33"/>
      <c r="BJ64" s="156"/>
    </row>
    <row r="65" spans="1:62" ht="15" customHeight="1" x14ac:dyDescent="0.35">
      <c r="A65" s="11" t="s">
        <v>94</v>
      </c>
      <c r="B65" s="148" t="s">
        <v>927</v>
      </c>
      <c r="C65" s="21" t="s">
        <v>235</v>
      </c>
      <c r="D65" s="12" t="s">
        <v>236</v>
      </c>
      <c r="E65" s="16">
        <v>1400574636</v>
      </c>
      <c r="F65" s="11" t="s">
        <v>737</v>
      </c>
      <c r="G65" s="13">
        <v>30366</v>
      </c>
      <c r="H65" s="11">
        <f>2026-1983</f>
        <v>43</v>
      </c>
      <c r="I65" s="2" t="s">
        <v>399</v>
      </c>
      <c r="J65" s="2" t="s">
        <v>44</v>
      </c>
      <c r="K65" s="12" t="s">
        <v>45</v>
      </c>
      <c r="L65" s="2" t="s">
        <v>46</v>
      </c>
      <c r="M65" s="2" t="s">
        <v>46</v>
      </c>
      <c r="N65" s="12" t="s">
        <v>568</v>
      </c>
      <c r="O65" s="2" t="s">
        <v>47</v>
      </c>
      <c r="P65" s="46" t="s">
        <v>752</v>
      </c>
      <c r="Q65" s="2" t="s">
        <v>638</v>
      </c>
      <c r="R65" s="2" t="s">
        <v>397</v>
      </c>
      <c r="S65" s="5">
        <v>45894</v>
      </c>
      <c r="T65" s="5">
        <v>46259</v>
      </c>
      <c r="U65" s="2">
        <v>12</v>
      </c>
      <c r="V65" s="40" t="s">
        <v>630</v>
      </c>
      <c r="AA65" s="41"/>
      <c r="AB65" s="2"/>
      <c r="AC65" s="2" t="s">
        <v>805</v>
      </c>
      <c r="AD65" s="2" t="s">
        <v>507</v>
      </c>
      <c r="AE65" s="4">
        <v>40</v>
      </c>
      <c r="AJ65" s="21" t="s">
        <v>90</v>
      </c>
      <c r="AK65" s="2" t="s">
        <v>49</v>
      </c>
      <c r="AL65" s="12" t="s">
        <v>46</v>
      </c>
      <c r="AM65" s="42" t="s">
        <v>78</v>
      </c>
      <c r="AN65" s="12" t="s">
        <v>237</v>
      </c>
      <c r="AO65" s="2" t="s">
        <v>49</v>
      </c>
      <c r="AP65" s="12" t="s">
        <v>420</v>
      </c>
      <c r="AQ65" s="42" t="s">
        <v>232</v>
      </c>
      <c r="AR65" s="12"/>
      <c r="AS65" s="12"/>
      <c r="AT65" s="12"/>
      <c r="AU65" s="42"/>
      <c r="AV65" s="7">
        <v>48.4</v>
      </c>
      <c r="AW65" s="13">
        <v>46266</v>
      </c>
      <c r="AX65" s="13">
        <v>46266</v>
      </c>
      <c r="AY65" s="13">
        <v>46266</v>
      </c>
      <c r="BA65" s="2" t="s">
        <v>51</v>
      </c>
      <c r="BB65" s="2" t="s">
        <v>52</v>
      </c>
      <c r="BC65" s="2" t="s">
        <v>398</v>
      </c>
      <c r="BD65" s="2" t="s">
        <v>397</v>
      </c>
      <c r="BE65" s="43">
        <v>0.5</v>
      </c>
      <c r="BF65" s="4">
        <f t="shared" ref="BF65:BG120" si="3">E65</f>
        <v>1400574636</v>
      </c>
      <c r="BG65" s="11" t="str">
        <f t="shared" si="3"/>
        <v>EXCCL-5012700</v>
      </c>
      <c r="BH65" s="11"/>
      <c r="BI65" s="33"/>
      <c r="BJ65" s="156"/>
    </row>
    <row r="66" spans="1:62" ht="15" customHeight="1" x14ac:dyDescent="0.35">
      <c r="A66" s="11" t="s">
        <v>162</v>
      </c>
      <c r="B66" s="148" t="s">
        <v>928</v>
      </c>
      <c r="C66" s="21" t="s">
        <v>238</v>
      </c>
      <c r="D66" s="12" t="s">
        <v>239</v>
      </c>
      <c r="E66" s="17" t="s">
        <v>240</v>
      </c>
      <c r="F66" s="11" t="s">
        <v>738</v>
      </c>
      <c r="G66" s="13">
        <v>25627</v>
      </c>
      <c r="H66" s="11">
        <f>2026-1970</f>
        <v>56</v>
      </c>
      <c r="I66" s="2" t="s">
        <v>399</v>
      </c>
      <c r="J66" s="2" t="s">
        <v>44</v>
      </c>
      <c r="K66" s="12" t="s">
        <v>45</v>
      </c>
      <c r="L66" s="2" t="s">
        <v>46</v>
      </c>
      <c r="M66" s="2" t="s">
        <v>46</v>
      </c>
      <c r="N66" s="12" t="s">
        <v>569</v>
      </c>
      <c r="O66" s="2" t="s">
        <v>47</v>
      </c>
      <c r="P66" s="46" t="s">
        <v>753</v>
      </c>
      <c r="Q66" s="2" t="s">
        <v>638</v>
      </c>
      <c r="R66" s="2" t="s">
        <v>397</v>
      </c>
      <c r="S66" s="5">
        <v>45894</v>
      </c>
      <c r="T66" s="5">
        <v>46259</v>
      </c>
      <c r="U66" s="2">
        <v>12</v>
      </c>
      <c r="V66" s="40" t="s">
        <v>629</v>
      </c>
      <c r="AA66" s="41"/>
      <c r="AB66" s="2"/>
      <c r="AC66" s="2" t="s">
        <v>805</v>
      </c>
      <c r="AD66" s="2" t="s">
        <v>507</v>
      </c>
      <c r="AE66" s="4">
        <v>40</v>
      </c>
      <c r="AF66" s="2" t="s">
        <v>626</v>
      </c>
      <c r="AG66" s="2" t="s">
        <v>49</v>
      </c>
      <c r="AH66" s="2" t="s">
        <v>627</v>
      </c>
      <c r="AJ66" s="21"/>
      <c r="AK66" s="12"/>
      <c r="AL66" s="12"/>
      <c r="AM66" s="42"/>
      <c r="AN66" s="12"/>
      <c r="AO66" s="12"/>
      <c r="AP66" s="12"/>
      <c r="AQ66" s="42"/>
      <c r="AR66" s="12"/>
      <c r="AS66" s="12"/>
      <c r="AT66" s="12"/>
      <c r="AU66" s="42"/>
      <c r="AV66" s="7">
        <v>48.4</v>
      </c>
      <c r="AW66" s="13">
        <v>46266</v>
      </c>
      <c r="AX66" s="13">
        <v>46266</v>
      </c>
      <c r="AY66" s="13">
        <v>46266</v>
      </c>
      <c r="BA66" s="2" t="s">
        <v>51</v>
      </c>
      <c r="BB66" s="2" t="s">
        <v>52</v>
      </c>
      <c r="BC66" s="2" t="s">
        <v>398</v>
      </c>
      <c r="BD66" s="2" t="s">
        <v>397</v>
      </c>
      <c r="BE66" s="43">
        <v>0.5</v>
      </c>
      <c r="BF66" s="4" t="str">
        <f t="shared" si="3"/>
        <v>1400334221</v>
      </c>
      <c r="BG66" s="11" t="str">
        <f t="shared" si="3"/>
        <v>EXCCL-5752016</v>
      </c>
      <c r="BH66" s="11"/>
      <c r="BI66" s="33"/>
      <c r="BJ66" s="156"/>
    </row>
    <row r="67" spans="1:62" ht="15" customHeight="1" x14ac:dyDescent="0.35">
      <c r="A67" s="11" t="s">
        <v>226</v>
      </c>
      <c r="B67" s="148" t="s">
        <v>929</v>
      </c>
      <c r="C67" s="21" t="s">
        <v>241</v>
      </c>
      <c r="D67" s="12" t="s">
        <v>242</v>
      </c>
      <c r="E67" s="16">
        <v>1400614838</v>
      </c>
      <c r="F67" s="11" t="s">
        <v>739</v>
      </c>
      <c r="G67" s="13">
        <v>31555</v>
      </c>
      <c r="H67" s="11">
        <f>2026-1986</f>
        <v>40</v>
      </c>
      <c r="I67" s="2" t="s">
        <v>399</v>
      </c>
      <c r="J67" s="2" t="s">
        <v>44</v>
      </c>
      <c r="K67" s="12" t="s">
        <v>45</v>
      </c>
      <c r="L67" s="2" t="s">
        <v>46</v>
      </c>
      <c r="M67" s="2" t="s">
        <v>46</v>
      </c>
      <c r="N67" s="12" t="s">
        <v>570</v>
      </c>
      <c r="O67" s="2" t="s">
        <v>47</v>
      </c>
      <c r="P67" s="46" t="s">
        <v>754</v>
      </c>
      <c r="Q67" s="2" t="s">
        <v>638</v>
      </c>
      <c r="R67" s="2" t="s">
        <v>397</v>
      </c>
      <c r="S67" s="5">
        <v>45894</v>
      </c>
      <c r="T67" s="5">
        <v>46259</v>
      </c>
      <c r="U67" s="2">
        <v>12</v>
      </c>
      <c r="V67" s="40" t="s">
        <v>632</v>
      </c>
      <c r="AA67" s="41"/>
      <c r="AB67" s="2"/>
      <c r="AC67" s="2" t="s">
        <v>805</v>
      </c>
      <c r="AD67" s="2" t="s">
        <v>507</v>
      </c>
      <c r="AE67" s="4">
        <v>40</v>
      </c>
      <c r="AF67" s="2"/>
      <c r="AG67" s="2"/>
      <c r="AH67" s="2"/>
      <c r="AJ67" s="21"/>
      <c r="AK67" s="12"/>
      <c r="AL67" s="12"/>
      <c r="AM67" s="42"/>
      <c r="AN67" s="12" t="s">
        <v>243</v>
      </c>
      <c r="AO67" s="2" t="s">
        <v>49</v>
      </c>
      <c r="AP67" s="12" t="s">
        <v>423</v>
      </c>
      <c r="AQ67" s="42" t="s">
        <v>244</v>
      </c>
      <c r="AR67" s="12" t="s">
        <v>245</v>
      </c>
      <c r="AS67" s="2" t="s">
        <v>49</v>
      </c>
      <c r="AT67" s="12" t="s">
        <v>416</v>
      </c>
      <c r="AU67" s="42" t="s">
        <v>246</v>
      </c>
      <c r="AV67" s="7">
        <v>48.4</v>
      </c>
      <c r="AW67" s="13">
        <v>46266</v>
      </c>
      <c r="AX67" s="13">
        <v>46266</v>
      </c>
      <c r="AY67" s="13">
        <v>46266</v>
      </c>
      <c r="BA67" s="2" t="s">
        <v>51</v>
      </c>
      <c r="BB67" s="2" t="s">
        <v>52</v>
      </c>
      <c r="BC67" s="2" t="s">
        <v>398</v>
      </c>
      <c r="BD67" s="2" t="s">
        <v>397</v>
      </c>
      <c r="BE67" s="43">
        <v>0.5</v>
      </c>
      <c r="BF67" s="4">
        <f t="shared" si="3"/>
        <v>1400614838</v>
      </c>
      <c r="BG67" s="11" t="str">
        <f t="shared" si="3"/>
        <v>EXCCL-8345141</v>
      </c>
      <c r="BH67" s="11"/>
      <c r="BI67" s="33"/>
      <c r="BJ67" s="156"/>
    </row>
    <row r="68" spans="1:62" ht="15" customHeight="1" x14ac:dyDescent="0.35">
      <c r="A68" s="11"/>
      <c r="B68" s="148" t="s">
        <v>930</v>
      </c>
      <c r="C68" s="21" t="s">
        <v>247</v>
      </c>
      <c r="D68" s="12" t="s">
        <v>248</v>
      </c>
      <c r="E68" s="17" t="s">
        <v>249</v>
      </c>
      <c r="F68" s="11" t="s">
        <v>740</v>
      </c>
      <c r="G68" s="13">
        <v>36580</v>
      </c>
      <c r="H68" s="11">
        <f>2026-2000</f>
        <v>26</v>
      </c>
      <c r="I68" s="2" t="s">
        <v>399</v>
      </c>
      <c r="J68" s="2" t="s">
        <v>44</v>
      </c>
      <c r="K68" s="12" t="s">
        <v>45</v>
      </c>
      <c r="L68" s="2" t="s">
        <v>46</v>
      </c>
      <c r="M68" s="2" t="s">
        <v>46</v>
      </c>
      <c r="N68" s="12" t="s">
        <v>571</v>
      </c>
      <c r="O68" s="2" t="s">
        <v>47</v>
      </c>
      <c r="P68" s="46" t="s">
        <v>755</v>
      </c>
      <c r="Q68" s="2" t="s">
        <v>638</v>
      </c>
      <c r="R68" s="2" t="s">
        <v>397</v>
      </c>
      <c r="S68" s="5">
        <v>45894</v>
      </c>
      <c r="T68" s="5">
        <v>46259</v>
      </c>
      <c r="U68" s="2">
        <v>12</v>
      </c>
      <c r="V68" s="40" t="s">
        <v>629</v>
      </c>
      <c r="AA68" s="41"/>
      <c r="AB68" s="2"/>
      <c r="AC68" s="2" t="s">
        <v>805</v>
      </c>
      <c r="AD68" s="2" t="s">
        <v>507</v>
      </c>
      <c r="AE68" s="4">
        <v>40</v>
      </c>
      <c r="AJ68" s="21" t="s">
        <v>250</v>
      </c>
      <c r="AK68" s="2" t="s">
        <v>49</v>
      </c>
      <c r="AL68" s="12" t="s">
        <v>416</v>
      </c>
      <c r="AM68" s="42" t="s">
        <v>251</v>
      </c>
      <c r="AN68" s="12"/>
      <c r="AO68" s="12"/>
      <c r="AP68" s="12"/>
      <c r="AQ68" s="42"/>
      <c r="AR68" s="12"/>
      <c r="AS68" s="12"/>
      <c r="AT68" s="12"/>
      <c r="AU68" s="42"/>
      <c r="AV68" s="7">
        <v>48.4</v>
      </c>
      <c r="AW68" s="13">
        <v>46266</v>
      </c>
      <c r="AX68" s="13">
        <v>46266</v>
      </c>
      <c r="AY68" s="13">
        <v>46266</v>
      </c>
      <c r="BA68" s="2" t="s">
        <v>51</v>
      </c>
      <c r="BB68" s="2" t="s">
        <v>52</v>
      </c>
      <c r="BC68" s="2" t="s">
        <v>398</v>
      </c>
      <c r="BD68" s="2" t="s">
        <v>397</v>
      </c>
      <c r="BE68" s="43">
        <v>0.5</v>
      </c>
      <c r="BF68" s="4" t="str">
        <f t="shared" si="3"/>
        <v>0106646995</v>
      </c>
      <c r="BG68" s="11" t="str">
        <f t="shared" si="3"/>
        <v>EXCCL-2803885</v>
      </c>
      <c r="BH68" s="11"/>
      <c r="BI68" s="33"/>
      <c r="BJ68" s="156"/>
    </row>
    <row r="69" spans="1:62" ht="15" customHeight="1" x14ac:dyDescent="0.35">
      <c r="A69" s="11"/>
      <c r="B69" s="151" t="s">
        <v>931</v>
      </c>
      <c r="C69" s="21" t="s">
        <v>252</v>
      </c>
      <c r="D69" s="12" t="s">
        <v>253</v>
      </c>
      <c r="E69" s="16">
        <v>1400985337</v>
      </c>
      <c r="F69" s="11" t="s">
        <v>758</v>
      </c>
      <c r="G69" s="13">
        <v>36825</v>
      </c>
      <c r="H69" s="11">
        <f>2026-2000</f>
        <v>26</v>
      </c>
      <c r="I69" s="2" t="s">
        <v>399</v>
      </c>
      <c r="J69" s="2" t="s">
        <v>44</v>
      </c>
      <c r="K69" s="12" t="s">
        <v>45</v>
      </c>
      <c r="L69" s="2" t="s">
        <v>46</v>
      </c>
      <c r="M69" s="2" t="s">
        <v>46</v>
      </c>
      <c r="N69" s="12" t="s">
        <v>572</v>
      </c>
      <c r="O69" s="2" t="s">
        <v>47</v>
      </c>
      <c r="P69" s="46" t="s">
        <v>783</v>
      </c>
      <c r="Q69" s="2" t="s">
        <v>638</v>
      </c>
      <c r="R69" s="2" t="s">
        <v>397</v>
      </c>
      <c r="S69" s="5">
        <v>45894</v>
      </c>
      <c r="T69" s="5">
        <v>46259</v>
      </c>
      <c r="U69" s="2">
        <v>12</v>
      </c>
      <c r="V69" s="40" t="s">
        <v>629</v>
      </c>
      <c r="AA69" s="41"/>
      <c r="AB69" s="2"/>
      <c r="AC69" s="2" t="s">
        <v>805</v>
      </c>
      <c r="AD69" s="2" t="s">
        <v>507</v>
      </c>
      <c r="AE69" s="4">
        <v>40</v>
      </c>
      <c r="AJ69" s="21" t="s">
        <v>450</v>
      </c>
      <c r="AK69" s="2" t="s">
        <v>49</v>
      </c>
      <c r="AL69" s="12" t="s">
        <v>404</v>
      </c>
      <c r="AM69" s="42" t="s">
        <v>78</v>
      </c>
      <c r="AN69" s="12"/>
      <c r="AO69" s="12"/>
      <c r="AP69" s="12"/>
      <c r="AQ69" s="42"/>
      <c r="AR69" s="12"/>
      <c r="AS69" s="12"/>
      <c r="AT69" s="12"/>
      <c r="AU69" s="42"/>
      <c r="AV69" s="7">
        <v>48.4</v>
      </c>
      <c r="AW69" s="13">
        <v>46266</v>
      </c>
      <c r="AX69" s="13">
        <v>46266</v>
      </c>
      <c r="AY69" s="13">
        <v>46266</v>
      </c>
      <c r="BA69" s="2" t="s">
        <v>51</v>
      </c>
      <c r="BB69" s="2" t="s">
        <v>52</v>
      </c>
      <c r="BC69" s="2" t="s">
        <v>398</v>
      </c>
      <c r="BD69" s="2" t="s">
        <v>397</v>
      </c>
      <c r="BE69" s="43">
        <v>0.58333333333333337</v>
      </c>
      <c r="BF69" s="4">
        <f t="shared" si="3"/>
        <v>1400985337</v>
      </c>
      <c r="BG69" s="11" t="str">
        <f t="shared" si="3"/>
        <v>EXCCL-7706550</v>
      </c>
      <c r="BH69" s="11"/>
      <c r="BI69" s="33"/>
      <c r="BJ69" s="156"/>
    </row>
    <row r="70" spans="1:62" ht="15" customHeight="1" x14ac:dyDescent="0.35">
      <c r="A70" s="11" t="s">
        <v>94</v>
      </c>
      <c r="B70" s="151" t="s">
        <v>932</v>
      </c>
      <c r="C70" s="21" t="s">
        <v>255</v>
      </c>
      <c r="D70" s="12" t="s">
        <v>256</v>
      </c>
      <c r="E70" s="17" t="s">
        <v>257</v>
      </c>
      <c r="F70" s="11" t="s">
        <v>759</v>
      </c>
      <c r="G70" s="13">
        <v>24802</v>
      </c>
      <c r="H70" s="11">
        <f>2026-1967</f>
        <v>59</v>
      </c>
      <c r="I70" s="2" t="s">
        <v>399</v>
      </c>
      <c r="J70" s="2" t="s">
        <v>44</v>
      </c>
      <c r="K70" s="12" t="s">
        <v>45</v>
      </c>
      <c r="L70" s="2" t="s">
        <v>46</v>
      </c>
      <c r="M70" s="2" t="s">
        <v>46</v>
      </c>
      <c r="N70" s="12" t="s">
        <v>573</v>
      </c>
      <c r="O70" s="2" t="s">
        <v>47</v>
      </c>
      <c r="P70" s="46" t="s">
        <v>784</v>
      </c>
      <c r="Q70" s="2" t="s">
        <v>638</v>
      </c>
      <c r="R70" s="2" t="s">
        <v>397</v>
      </c>
      <c r="S70" s="5">
        <v>45894</v>
      </c>
      <c r="T70" s="5">
        <v>46259</v>
      </c>
      <c r="U70" s="2">
        <v>12</v>
      </c>
      <c r="V70" s="40" t="s">
        <v>630</v>
      </c>
      <c r="AA70" s="41"/>
      <c r="AB70" s="2"/>
      <c r="AC70" s="2" t="s">
        <v>805</v>
      </c>
      <c r="AD70" s="2" t="s">
        <v>507</v>
      </c>
      <c r="AE70" s="4">
        <v>40</v>
      </c>
      <c r="AJ70" s="21" t="s">
        <v>254</v>
      </c>
      <c r="AK70" s="2" t="s">
        <v>49</v>
      </c>
      <c r="AL70" s="12" t="s">
        <v>417</v>
      </c>
      <c r="AM70" s="42" t="s">
        <v>425</v>
      </c>
      <c r="AN70" s="12" t="s">
        <v>231</v>
      </c>
      <c r="AO70" s="2" t="s">
        <v>49</v>
      </c>
      <c r="AP70" s="12" t="s">
        <v>416</v>
      </c>
      <c r="AQ70" s="42" t="s">
        <v>232</v>
      </c>
      <c r="AS70" s="12"/>
      <c r="AT70" s="12"/>
      <c r="AU70" s="41"/>
      <c r="AV70" s="7">
        <v>48.4</v>
      </c>
      <c r="AW70" s="13">
        <v>46266</v>
      </c>
      <c r="AX70" s="13">
        <v>46266</v>
      </c>
      <c r="AY70" s="13">
        <v>46266</v>
      </c>
      <c r="BA70" s="2" t="s">
        <v>51</v>
      </c>
      <c r="BB70" s="2" t="s">
        <v>52</v>
      </c>
      <c r="BC70" s="2" t="s">
        <v>398</v>
      </c>
      <c r="BD70" s="2" t="s">
        <v>397</v>
      </c>
      <c r="BE70" s="43">
        <v>0.58333333333333337</v>
      </c>
      <c r="BF70" s="4" t="str">
        <f t="shared" si="3"/>
        <v>0102617438</v>
      </c>
      <c r="BG70" s="11" t="str">
        <f t="shared" si="3"/>
        <v>EXCCL-2744255</v>
      </c>
      <c r="BH70" s="11"/>
      <c r="BI70" s="33"/>
      <c r="BJ70" s="156"/>
    </row>
    <row r="71" spans="1:62" ht="15" customHeight="1" x14ac:dyDescent="0.35">
      <c r="A71" s="11" t="s">
        <v>226</v>
      </c>
      <c r="B71" s="151" t="s">
        <v>933</v>
      </c>
      <c r="C71" s="34" t="s">
        <v>258</v>
      </c>
      <c r="D71" s="35" t="s">
        <v>259</v>
      </c>
      <c r="E71" s="106" t="s">
        <v>260</v>
      </c>
      <c r="F71" s="37" t="s">
        <v>760</v>
      </c>
      <c r="G71" s="79">
        <v>31621</v>
      </c>
      <c r="H71" s="37">
        <f>2026-1986</f>
        <v>40</v>
      </c>
      <c r="I71" s="38" t="s">
        <v>399</v>
      </c>
      <c r="J71" s="38" t="s">
        <v>44</v>
      </c>
      <c r="K71" s="35" t="s">
        <v>45</v>
      </c>
      <c r="L71" s="38" t="s">
        <v>46</v>
      </c>
      <c r="M71" s="38" t="s">
        <v>46</v>
      </c>
      <c r="N71" s="35" t="s">
        <v>574</v>
      </c>
      <c r="O71" s="38" t="s">
        <v>47</v>
      </c>
      <c r="P71" s="75" t="s">
        <v>785</v>
      </c>
      <c r="Q71" s="38" t="s">
        <v>638</v>
      </c>
      <c r="R71" s="38" t="s">
        <v>397</v>
      </c>
      <c r="S71" s="74">
        <v>45894</v>
      </c>
      <c r="T71" s="74">
        <v>46259</v>
      </c>
      <c r="U71" s="38">
        <v>12</v>
      </c>
      <c r="V71" s="76" t="s">
        <v>632</v>
      </c>
      <c r="W71" s="80"/>
      <c r="X71" s="80"/>
      <c r="Y71" s="80"/>
      <c r="Z71" s="80"/>
      <c r="AA71" s="81"/>
      <c r="AB71" s="38"/>
      <c r="AC71" s="38" t="s">
        <v>805</v>
      </c>
      <c r="AD71" s="38" t="s">
        <v>507</v>
      </c>
      <c r="AE71" s="45">
        <v>40</v>
      </c>
      <c r="AF71" s="80"/>
      <c r="AG71" s="80"/>
      <c r="AH71" s="80"/>
      <c r="AI71" s="80"/>
      <c r="AJ71" s="34" t="s">
        <v>250</v>
      </c>
      <c r="AK71" s="38" t="s">
        <v>49</v>
      </c>
      <c r="AL71" s="35" t="s">
        <v>416</v>
      </c>
      <c r="AM71" s="82" t="s">
        <v>85</v>
      </c>
      <c r="AN71" s="35" t="s">
        <v>224</v>
      </c>
      <c r="AO71" s="38" t="s">
        <v>49</v>
      </c>
      <c r="AP71" s="35" t="s">
        <v>423</v>
      </c>
      <c r="AQ71" s="82" t="s">
        <v>261</v>
      </c>
      <c r="AR71" s="35" t="s">
        <v>262</v>
      </c>
      <c r="AS71" s="35" t="s">
        <v>400</v>
      </c>
      <c r="AT71" s="35" t="s">
        <v>422</v>
      </c>
      <c r="AU71" s="82" t="s">
        <v>263</v>
      </c>
      <c r="AV71" s="77">
        <v>48.4</v>
      </c>
      <c r="AW71" s="79">
        <v>46266</v>
      </c>
      <c r="AX71" s="79">
        <v>46266</v>
      </c>
      <c r="AY71" s="79">
        <v>46266</v>
      </c>
      <c r="AZ71" s="80"/>
      <c r="BA71" s="38" t="s">
        <v>51</v>
      </c>
      <c r="BB71" s="38" t="s">
        <v>52</v>
      </c>
      <c r="BC71" s="38" t="s">
        <v>398</v>
      </c>
      <c r="BD71" s="38" t="s">
        <v>397</v>
      </c>
      <c r="BE71" s="44">
        <v>0.58333333333333337</v>
      </c>
      <c r="BF71" s="45" t="str">
        <f t="shared" si="3"/>
        <v>0104121827</v>
      </c>
      <c r="BG71" s="37" t="str">
        <f t="shared" si="3"/>
        <v>EXCCL-8028683</v>
      </c>
      <c r="BH71" s="37"/>
      <c r="BI71" s="102"/>
      <c r="BJ71" s="156"/>
    </row>
    <row r="72" spans="1:62" ht="15" customHeight="1" x14ac:dyDescent="0.35">
      <c r="A72" s="11" t="s">
        <v>94</v>
      </c>
      <c r="B72" s="151" t="s">
        <v>934</v>
      </c>
      <c r="C72" s="21" t="s">
        <v>264</v>
      </c>
      <c r="D72" s="12" t="s">
        <v>265</v>
      </c>
      <c r="E72" s="16">
        <v>1400687370</v>
      </c>
      <c r="F72" s="11" t="s">
        <v>761</v>
      </c>
      <c r="G72" s="13">
        <v>34923</v>
      </c>
      <c r="H72" s="11">
        <f>2026-1995</f>
        <v>31</v>
      </c>
      <c r="I72" s="2" t="s">
        <v>399</v>
      </c>
      <c r="J72" s="2" t="s">
        <v>44</v>
      </c>
      <c r="K72" s="12" t="s">
        <v>45</v>
      </c>
      <c r="L72" s="2" t="s">
        <v>46</v>
      </c>
      <c r="M72" s="2" t="s">
        <v>46</v>
      </c>
      <c r="N72" s="12" t="s">
        <v>575</v>
      </c>
      <c r="O72" s="2" t="s">
        <v>47</v>
      </c>
      <c r="P72" s="46" t="s">
        <v>786</v>
      </c>
      <c r="Q72" s="2" t="s">
        <v>638</v>
      </c>
      <c r="R72" s="2" t="s">
        <v>397</v>
      </c>
      <c r="S72" s="5">
        <v>45894</v>
      </c>
      <c r="T72" s="5">
        <v>46259</v>
      </c>
      <c r="U72" s="2">
        <v>12</v>
      </c>
      <c r="V72" s="40" t="s">
        <v>630</v>
      </c>
      <c r="AA72" s="41"/>
      <c r="AB72" s="2"/>
      <c r="AC72" s="2" t="s">
        <v>805</v>
      </c>
      <c r="AD72" s="2" t="s">
        <v>507</v>
      </c>
      <c r="AE72" s="4">
        <v>40</v>
      </c>
      <c r="AJ72" s="21" t="s">
        <v>90</v>
      </c>
      <c r="AK72" s="2" t="s">
        <v>49</v>
      </c>
      <c r="AL72" s="12" t="s">
        <v>46</v>
      </c>
      <c r="AM72" s="42" t="s">
        <v>78</v>
      </c>
      <c r="AN72" s="12" t="s">
        <v>245</v>
      </c>
      <c r="AO72" s="2" t="s">
        <v>49</v>
      </c>
      <c r="AP72" s="12" t="s">
        <v>416</v>
      </c>
      <c r="AQ72" s="42" t="s">
        <v>266</v>
      </c>
      <c r="AR72" s="12"/>
      <c r="AS72" s="12"/>
      <c r="AT72" s="12"/>
      <c r="AU72" s="42"/>
      <c r="AV72" s="7">
        <v>48.4</v>
      </c>
      <c r="AW72" s="13">
        <v>46266</v>
      </c>
      <c r="AX72" s="13">
        <v>46266</v>
      </c>
      <c r="AY72" s="13">
        <v>46266</v>
      </c>
      <c r="BA72" s="2" t="s">
        <v>51</v>
      </c>
      <c r="BB72" s="2" t="s">
        <v>52</v>
      </c>
      <c r="BC72" s="2" t="s">
        <v>398</v>
      </c>
      <c r="BD72" s="2" t="s">
        <v>397</v>
      </c>
      <c r="BE72" s="43">
        <v>0.66666666666666663</v>
      </c>
      <c r="BF72" s="4">
        <f t="shared" si="3"/>
        <v>1400687370</v>
      </c>
      <c r="BG72" s="11" t="str">
        <f t="shared" si="3"/>
        <v>EXCCL-9245662</v>
      </c>
      <c r="BH72" s="11"/>
      <c r="BI72" s="33"/>
      <c r="BJ72" s="156"/>
    </row>
    <row r="73" spans="1:62" ht="15" customHeight="1" x14ac:dyDescent="0.35">
      <c r="A73" s="11" t="s">
        <v>94</v>
      </c>
      <c r="B73" s="151" t="s">
        <v>935</v>
      </c>
      <c r="C73" s="21" t="s">
        <v>267</v>
      </c>
      <c r="D73" s="12" t="s">
        <v>268</v>
      </c>
      <c r="E73" s="17" t="s">
        <v>269</v>
      </c>
      <c r="F73" s="11" t="s">
        <v>762</v>
      </c>
      <c r="G73" s="13">
        <v>32954</v>
      </c>
      <c r="H73" s="11">
        <f>2026-1990</f>
        <v>36</v>
      </c>
      <c r="I73" s="2" t="s">
        <v>399</v>
      </c>
      <c r="J73" s="2" t="s">
        <v>44</v>
      </c>
      <c r="K73" s="12" t="s">
        <v>45</v>
      </c>
      <c r="L73" s="2" t="s">
        <v>46</v>
      </c>
      <c r="M73" s="2" t="s">
        <v>46</v>
      </c>
      <c r="N73" s="12" t="s">
        <v>576</v>
      </c>
      <c r="O73" s="2" t="s">
        <v>47</v>
      </c>
      <c r="P73" s="46" t="s">
        <v>787</v>
      </c>
      <c r="Q73" s="2" t="s">
        <v>638</v>
      </c>
      <c r="R73" s="2" t="s">
        <v>397</v>
      </c>
      <c r="S73" s="5">
        <v>45894</v>
      </c>
      <c r="T73" s="5">
        <v>46259</v>
      </c>
      <c r="U73" s="2">
        <v>12</v>
      </c>
      <c r="V73" s="40" t="s">
        <v>630</v>
      </c>
      <c r="AA73" s="41"/>
      <c r="AB73" s="2"/>
      <c r="AC73" s="2" t="s">
        <v>805</v>
      </c>
      <c r="AD73" s="2" t="s">
        <v>507</v>
      </c>
      <c r="AE73" s="4">
        <v>40</v>
      </c>
      <c r="AJ73" s="21" t="s">
        <v>178</v>
      </c>
      <c r="AK73" s="2" t="s">
        <v>49</v>
      </c>
      <c r="AL73" s="12" t="s">
        <v>486</v>
      </c>
      <c r="AM73" s="42" t="s">
        <v>78</v>
      </c>
      <c r="AN73" s="12" t="s">
        <v>270</v>
      </c>
      <c r="AO73" s="2" t="s">
        <v>49</v>
      </c>
      <c r="AP73" s="12" t="s">
        <v>420</v>
      </c>
      <c r="AQ73" s="42" t="s">
        <v>271</v>
      </c>
      <c r="AR73" s="12"/>
      <c r="AS73" s="12"/>
      <c r="AT73" s="12"/>
      <c r="AU73" s="42"/>
      <c r="AV73" s="7">
        <v>48.4</v>
      </c>
      <c r="AW73" s="13">
        <v>46266</v>
      </c>
      <c r="AX73" s="13">
        <v>46266</v>
      </c>
      <c r="AY73" s="13">
        <v>46266</v>
      </c>
      <c r="BA73" s="2" t="s">
        <v>51</v>
      </c>
      <c r="BB73" s="2" t="s">
        <v>52</v>
      </c>
      <c r="BC73" s="2" t="s">
        <v>398</v>
      </c>
      <c r="BD73" s="2" t="s">
        <v>397</v>
      </c>
      <c r="BE73" s="43">
        <v>0.66666666666666663</v>
      </c>
      <c r="BF73" s="4" t="str">
        <f t="shared" si="3"/>
        <v>0704422773</v>
      </c>
      <c r="BG73" s="11" t="str">
        <f t="shared" si="3"/>
        <v>EXCCL-9541024</v>
      </c>
      <c r="BH73" s="11"/>
      <c r="BI73" s="33"/>
      <c r="BJ73" s="156"/>
    </row>
    <row r="74" spans="1:62" ht="15" customHeight="1" x14ac:dyDescent="0.35">
      <c r="A74" s="11" t="s">
        <v>94</v>
      </c>
      <c r="B74" s="151" t="s">
        <v>936</v>
      </c>
      <c r="C74" s="21" t="s">
        <v>272</v>
      </c>
      <c r="D74" s="12" t="s">
        <v>273</v>
      </c>
      <c r="E74" s="16">
        <v>1601020652</v>
      </c>
      <c r="F74" s="11" t="s">
        <v>763</v>
      </c>
      <c r="G74" s="13">
        <v>36174</v>
      </c>
      <c r="H74" s="11">
        <f>2026-1999</f>
        <v>27</v>
      </c>
      <c r="I74" s="2" t="s">
        <v>399</v>
      </c>
      <c r="J74" s="2" t="s">
        <v>44</v>
      </c>
      <c r="K74" s="12" t="s">
        <v>45</v>
      </c>
      <c r="L74" s="2" t="s">
        <v>46</v>
      </c>
      <c r="M74" s="2" t="s">
        <v>46</v>
      </c>
      <c r="N74" s="12" t="s">
        <v>577</v>
      </c>
      <c r="O74" s="2" t="s">
        <v>47</v>
      </c>
      <c r="P74" s="46" t="s">
        <v>788</v>
      </c>
      <c r="Q74" s="2" t="s">
        <v>638</v>
      </c>
      <c r="R74" s="2" t="s">
        <v>397</v>
      </c>
      <c r="S74" s="5">
        <v>45894</v>
      </c>
      <c r="T74" s="5">
        <v>46259</v>
      </c>
      <c r="U74" s="2">
        <v>12</v>
      </c>
      <c r="V74" s="40" t="s">
        <v>630</v>
      </c>
      <c r="AA74" s="41"/>
      <c r="AB74" s="2"/>
      <c r="AC74" s="2" t="s">
        <v>805</v>
      </c>
      <c r="AD74" s="2" t="s">
        <v>507</v>
      </c>
      <c r="AE74" s="4">
        <v>40</v>
      </c>
      <c r="AJ74" s="21" t="s">
        <v>429</v>
      </c>
      <c r="AK74" s="2" t="s">
        <v>49</v>
      </c>
      <c r="AL74" s="12" t="s">
        <v>407</v>
      </c>
      <c r="AM74" s="42" t="s">
        <v>82</v>
      </c>
      <c r="AN74" s="12" t="s">
        <v>245</v>
      </c>
      <c r="AO74" s="2" t="s">
        <v>49</v>
      </c>
      <c r="AP74" s="12" t="s">
        <v>416</v>
      </c>
      <c r="AQ74" s="42" t="s">
        <v>274</v>
      </c>
      <c r="AU74" s="41"/>
      <c r="AV74" s="7">
        <v>48.4</v>
      </c>
      <c r="AW74" s="13">
        <v>46266</v>
      </c>
      <c r="AX74" s="13">
        <v>46266</v>
      </c>
      <c r="AY74" s="13">
        <v>46266</v>
      </c>
      <c r="BA74" s="2" t="s">
        <v>51</v>
      </c>
      <c r="BB74" s="2" t="s">
        <v>52</v>
      </c>
      <c r="BC74" s="2" t="s">
        <v>398</v>
      </c>
      <c r="BD74" s="2" t="s">
        <v>397</v>
      </c>
      <c r="BE74" s="43">
        <v>0.66666666666666663</v>
      </c>
      <c r="BF74" s="4">
        <f t="shared" si="3"/>
        <v>1601020652</v>
      </c>
      <c r="BG74" s="11" t="str">
        <f t="shared" si="3"/>
        <v>EXCCL-9465921</v>
      </c>
      <c r="BH74" s="11"/>
      <c r="BI74" s="33"/>
      <c r="BJ74" s="156"/>
    </row>
    <row r="75" spans="1:62" ht="15" customHeight="1" x14ac:dyDescent="0.35">
      <c r="A75" s="11" t="s">
        <v>226</v>
      </c>
      <c r="B75" s="151" t="s">
        <v>937</v>
      </c>
      <c r="C75" s="21" t="s">
        <v>275</v>
      </c>
      <c r="D75" s="12" t="s">
        <v>280</v>
      </c>
      <c r="E75" s="16" t="s">
        <v>281</v>
      </c>
      <c r="F75" s="11" t="s">
        <v>764</v>
      </c>
      <c r="G75" s="13">
        <v>32500</v>
      </c>
      <c r="H75" s="11">
        <f>2026-1988</f>
        <v>38</v>
      </c>
      <c r="I75" s="2" t="s">
        <v>399</v>
      </c>
      <c r="J75" s="2" t="s">
        <v>44</v>
      </c>
      <c r="K75" s="12" t="s">
        <v>45</v>
      </c>
      <c r="L75" s="2" t="s">
        <v>46</v>
      </c>
      <c r="M75" s="2" t="s">
        <v>46</v>
      </c>
      <c r="N75" s="12" t="s">
        <v>579</v>
      </c>
      <c r="O75" s="2" t="s">
        <v>47</v>
      </c>
      <c r="P75" s="46" t="s">
        <v>789</v>
      </c>
      <c r="Q75" s="2" t="s">
        <v>638</v>
      </c>
      <c r="R75" s="2" t="s">
        <v>397</v>
      </c>
      <c r="S75" s="5">
        <v>45894</v>
      </c>
      <c r="T75" s="5">
        <v>46259</v>
      </c>
      <c r="U75" s="2">
        <v>12</v>
      </c>
      <c r="V75" s="40" t="s">
        <v>632</v>
      </c>
      <c r="AA75" s="41"/>
      <c r="AB75" s="2"/>
      <c r="AC75" s="2" t="s">
        <v>805</v>
      </c>
      <c r="AD75" s="2" t="s">
        <v>507</v>
      </c>
      <c r="AE75" s="4">
        <v>40</v>
      </c>
      <c r="AF75" s="2"/>
      <c r="AG75" s="2"/>
      <c r="AH75" s="2"/>
      <c r="AJ75" s="78"/>
      <c r="AM75" s="41"/>
      <c r="AN75" s="12" t="s">
        <v>270</v>
      </c>
      <c r="AO75" s="2" t="s">
        <v>49</v>
      </c>
      <c r="AP75" s="12" t="s">
        <v>420</v>
      </c>
      <c r="AQ75" s="42" t="s">
        <v>282</v>
      </c>
      <c r="AR75" s="12" t="s">
        <v>262</v>
      </c>
      <c r="AS75" s="12" t="s">
        <v>400</v>
      </c>
      <c r="AT75" s="12" t="s">
        <v>422</v>
      </c>
      <c r="AU75" s="42" t="s">
        <v>283</v>
      </c>
      <c r="AV75" s="7">
        <v>48.4</v>
      </c>
      <c r="AW75" s="13">
        <v>46266</v>
      </c>
      <c r="AX75" s="13">
        <v>46266</v>
      </c>
      <c r="AY75" s="13">
        <v>46266</v>
      </c>
      <c r="BA75" s="2" t="s">
        <v>51</v>
      </c>
      <c r="BB75" s="2" t="s">
        <v>52</v>
      </c>
      <c r="BC75" s="2" t="s">
        <v>398</v>
      </c>
      <c r="BD75" s="2" t="s">
        <v>397</v>
      </c>
      <c r="BE75" s="43">
        <v>0.66666666666666663</v>
      </c>
      <c r="BF75" s="4" t="str">
        <f t="shared" si="3"/>
        <v>0603889452</v>
      </c>
      <c r="BG75" s="11" t="str">
        <f t="shared" si="3"/>
        <v>EXCCL-1647243</v>
      </c>
      <c r="BH75" s="11"/>
      <c r="BI75" s="33"/>
      <c r="BJ75" s="156"/>
    </row>
    <row r="76" spans="1:62" ht="15" customHeight="1" x14ac:dyDescent="0.35">
      <c r="A76" s="11" t="s">
        <v>94</v>
      </c>
      <c r="B76" s="151" t="s">
        <v>938</v>
      </c>
      <c r="C76" s="21" t="s">
        <v>279</v>
      </c>
      <c r="D76" s="12" t="s">
        <v>285</v>
      </c>
      <c r="E76" s="16" t="s">
        <v>286</v>
      </c>
      <c r="F76" s="11" t="s">
        <v>765</v>
      </c>
      <c r="G76" s="13">
        <v>34722</v>
      </c>
      <c r="H76" s="11">
        <f>2026-1995</f>
        <v>31</v>
      </c>
      <c r="I76" s="2" t="s">
        <v>399</v>
      </c>
      <c r="J76" s="2" t="s">
        <v>44</v>
      </c>
      <c r="K76" s="12" t="s">
        <v>45</v>
      </c>
      <c r="L76" s="2" t="s">
        <v>46</v>
      </c>
      <c r="M76" s="2" t="s">
        <v>46</v>
      </c>
      <c r="N76" s="12" t="s">
        <v>580</v>
      </c>
      <c r="O76" s="2" t="s">
        <v>47</v>
      </c>
      <c r="P76" s="46" t="s">
        <v>790</v>
      </c>
      <c r="Q76" s="2" t="s">
        <v>638</v>
      </c>
      <c r="R76" s="2" t="s">
        <v>397</v>
      </c>
      <c r="S76" s="5">
        <v>45894</v>
      </c>
      <c r="T76" s="5">
        <v>46259</v>
      </c>
      <c r="U76" s="2">
        <v>12</v>
      </c>
      <c r="V76" s="40" t="s">
        <v>630</v>
      </c>
      <c r="AA76" s="41"/>
      <c r="AB76" s="2"/>
      <c r="AC76" s="2" t="s">
        <v>805</v>
      </c>
      <c r="AD76" s="2" t="s">
        <v>507</v>
      </c>
      <c r="AE76" s="4">
        <v>40</v>
      </c>
      <c r="AJ76" s="21" t="s">
        <v>90</v>
      </c>
      <c r="AK76" s="2" t="s">
        <v>49</v>
      </c>
      <c r="AL76" s="12" t="s">
        <v>46</v>
      </c>
      <c r="AM76" s="12" t="s">
        <v>78</v>
      </c>
      <c r="AN76" s="12" t="s">
        <v>224</v>
      </c>
      <c r="AO76" s="2" t="s">
        <v>49</v>
      </c>
      <c r="AP76" s="12" t="s">
        <v>416</v>
      </c>
      <c r="AQ76" s="42" t="s">
        <v>287</v>
      </c>
      <c r="AR76" s="12"/>
      <c r="AS76" s="12"/>
      <c r="AT76" s="12"/>
      <c r="AU76" s="42"/>
      <c r="AV76" s="7">
        <v>48.4</v>
      </c>
      <c r="AW76" s="13">
        <v>46266</v>
      </c>
      <c r="AX76" s="13">
        <v>46266</v>
      </c>
      <c r="AY76" s="13">
        <v>46266</v>
      </c>
      <c r="BA76" s="2" t="s">
        <v>51</v>
      </c>
      <c r="BB76" s="2" t="s">
        <v>52</v>
      </c>
      <c r="BC76" s="2" t="s">
        <v>398</v>
      </c>
      <c r="BD76" s="2" t="s">
        <v>397</v>
      </c>
      <c r="BE76" s="43">
        <v>0.66666666666666663</v>
      </c>
      <c r="BF76" s="4" t="str">
        <f t="shared" si="3"/>
        <v>1400762397</v>
      </c>
      <c r="BG76" s="11" t="str">
        <f t="shared" si="3"/>
        <v>EXCCL-4805538</v>
      </c>
      <c r="BH76" s="11"/>
      <c r="BI76" s="33"/>
      <c r="BJ76" s="156"/>
    </row>
    <row r="77" spans="1:62" ht="15" customHeight="1" x14ac:dyDescent="0.35">
      <c r="A77" s="11" t="s">
        <v>94</v>
      </c>
      <c r="B77" s="151" t="s">
        <v>939</v>
      </c>
      <c r="C77" s="21" t="s">
        <v>284</v>
      </c>
      <c r="D77" s="12" t="s">
        <v>289</v>
      </c>
      <c r="E77" s="17" t="s">
        <v>290</v>
      </c>
      <c r="F77" s="11" t="s">
        <v>766</v>
      </c>
      <c r="G77" s="13">
        <v>30617</v>
      </c>
      <c r="H77" s="11">
        <f>2026-1983</f>
        <v>43</v>
      </c>
      <c r="I77" s="2" t="s">
        <v>399</v>
      </c>
      <c r="J77" s="2" t="s">
        <v>44</v>
      </c>
      <c r="K77" s="12" t="s">
        <v>45</v>
      </c>
      <c r="L77" s="2" t="s">
        <v>46</v>
      </c>
      <c r="M77" s="2" t="s">
        <v>46</v>
      </c>
      <c r="N77" s="12" t="s">
        <v>581</v>
      </c>
      <c r="O77" s="2" t="s">
        <v>47</v>
      </c>
      <c r="P77" s="46" t="s">
        <v>791</v>
      </c>
      <c r="Q77" s="2" t="s">
        <v>638</v>
      </c>
      <c r="R77" s="2" t="s">
        <v>397</v>
      </c>
      <c r="S77" s="5">
        <v>45894</v>
      </c>
      <c r="T77" s="5">
        <v>46259</v>
      </c>
      <c r="U77" s="2">
        <v>12</v>
      </c>
      <c r="V77" s="40" t="s">
        <v>630</v>
      </c>
      <c r="AA77" s="41"/>
      <c r="AB77" s="2"/>
      <c r="AC77" s="2" t="s">
        <v>805</v>
      </c>
      <c r="AD77" s="2" t="s">
        <v>507</v>
      </c>
      <c r="AE77" s="4">
        <v>40</v>
      </c>
      <c r="AJ77" s="21" t="s">
        <v>426</v>
      </c>
      <c r="AK77" s="2" t="s">
        <v>49</v>
      </c>
      <c r="AL77" s="12" t="s">
        <v>416</v>
      </c>
      <c r="AM77" s="42" t="s">
        <v>427</v>
      </c>
      <c r="AN77" s="12" t="s">
        <v>245</v>
      </c>
      <c r="AO77" s="2" t="s">
        <v>49</v>
      </c>
      <c r="AP77" s="12" t="s">
        <v>423</v>
      </c>
      <c r="AQ77" s="42" t="s">
        <v>291</v>
      </c>
      <c r="AR77" s="12"/>
      <c r="AS77" s="12"/>
      <c r="AT77" s="12"/>
      <c r="AU77" s="42"/>
      <c r="AV77" s="7">
        <v>48.4</v>
      </c>
      <c r="AW77" s="13">
        <v>46266</v>
      </c>
      <c r="AX77" s="13">
        <v>46266</v>
      </c>
      <c r="AY77" s="13">
        <v>46266</v>
      </c>
      <c r="AZ77" s="12"/>
      <c r="BA77" s="2" t="s">
        <v>51</v>
      </c>
      <c r="BB77" s="2" t="s">
        <v>52</v>
      </c>
      <c r="BC77" s="2" t="s">
        <v>398</v>
      </c>
      <c r="BD77" s="2" t="s">
        <v>397</v>
      </c>
      <c r="BE77" s="43">
        <v>0.66666666666666663</v>
      </c>
      <c r="BF77" s="4" t="str">
        <f t="shared" si="3"/>
        <v>0104516026</v>
      </c>
      <c r="BG77" s="11" t="str">
        <f t="shared" si="3"/>
        <v>EXCCL-4233669</v>
      </c>
      <c r="BH77" s="11"/>
      <c r="BI77" s="33"/>
      <c r="BJ77" s="156"/>
    </row>
    <row r="78" spans="1:62" ht="15" customHeight="1" x14ac:dyDescent="0.35">
      <c r="A78" s="11" t="s">
        <v>226</v>
      </c>
      <c r="B78" s="151" t="s">
        <v>940</v>
      </c>
      <c r="C78" s="21" t="s">
        <v>288</v>
      </c>
      <c r="D78" s="12" t="s">
        <v>293</v>
      </c>
      <c r="E78" s="16" t="s">
        <v>294</v>
      </c>
      <c r="F78" s="11" t="s">
        <v>767</v>
      </c>
      <c r="G78" s="13">
        <v>32243</v>
      </c>
      <c r="H78" s="11">
        <f>2026-1988</f>
        <v>38</v>
      </c>
      <c r="I78" s="2" t="s">
        <v>399</v>
      </c>
      <c r="J78" s="2" t="s">
        <v>44</v>
      </c>
      <c r="K78" s="12" t="s">
        <v>45</v>
      </c>
      <c r="L78" s="2" t="s">
        <v>46</v>
      </c>
      <c r="M78" s="2" t="s">
        <v>46</v>
      </c>
      <c r="N78" s="12" t="s">
        <v>582</v>
      </c>
      <c r="O78" s="2" t="s">
        <v>47</v>
      </c>
      <c r="P78" s="46" t="s">
        <v>792</v>
      </c>
      <c r="Q78" s="2" t="s">
        <v>638</v>
      </c>
      <c r="R78" s="2" t="s">
        <v>397</v>
      </c>
      <c r="S78" s="5">
        <v>45894</v>
      </c>
      <c r="T78" s="5">
        <v>46259</v>
      </c>
      <c r="U78" s="2">
        <v>12</v>
      </c>
      <c r="V78" s="40" t="s">
        <v>632</v>
      </c>
      <c r="AA78" s="41"/>
      <c r="AB78" s="2"/>
      <c r="AC78" s="2" t="s">
        <v>805</v>
      </c>
      <c r="AD78" s="2" t="s">
        <v>507</v>
      </c>
      <c r="AE78" s="4">
        <v>40</v>
      </c>
      <c r="AJ78" s="83" t="s">
        <v>90</v>
      </c>
      <c r="AK78" s="2" t="s">
        <v>49</v>
      </c>
      <c r="AL78" s="84" t="s">
        <v>46</v>
      </c>
      <c r="AM78" s="85" t="s">
        <v>78</v>
      </c>
      <c r="AN78" s="12" t="s">
        <v>270</v>
      </c>
      <c r="AO78" s="12" t="s">
        <v>49</v>
      </c>
      <c r="AP78" s="12" t="s">
        <v>420</v>
      </c>
      <c r="AQ78" s="42" t="s">
        <v>451</v>
      </c>
      <c r="AR78" s="12"/>
      <c r="AS78" s="12"/>
      <c r="AT78" s="12"/>
      <c r="AU78" s="42"/>
      <c r="AV78" s="7">
        <v>48.4</v>
      </c>
      <c r="AW78" s="13">
        <v>46266</v>
      </c>
      <c r="AX78" s="13">
        <v>46266</v>
      </c>
      <c r="AY78" s="13">
        <v>46266</v>
      </c>
      <c r="AZ78" s="12"/>
      <c r="BA78" s="2" t="s">
        <v>51</v>
      </c>
      <c r="BB78" s="2" t="s">
        <v>52</v>
      </c>
      <c r="BC78" s="2" t="s">
        <v>398</v>
      </c>
      <c r="BD78" s="2" t="s">
        <v>397</v>
      </c>
      <c r="BE78" s="43">
        <v>0.66666666666666663</v>
      </c>
      <c r="BF78" s="4" t="str">
        <f t="shared" si="3"/>
        <v>1400702302</v>
      </c>
      <c r="BG78" s="11" t="str">
        <f t="shared" si="3"/>
        <v>EXCCL-1091083</v>
      </c>
      <c r="BH78" s="11"/>
      <c r="BI78" s="33"/>
      <c r="BJ78" s="156"/>
    </row>
    <row r="79" spans="1:62" ht="15" customHeight="1" x14ac:dyDescent="0.35">
      <c r="A79" s="11" t="s">
        <v>94</v>
      </c>
      <c r="B79" s="151" t="s">
        <v>941</v>
      </c>
      <c r="C79" s="21" t="s">
        <v>292</v>
      </c>
      <c r="D79" s="12" t="s">
        <v>296</v>
      </c>
      <c r="E79" s="16" t="s">
        <v>297</v>
      </c>
      <c r="F79" s="11" t="s">
        <v>768</v>
      </c>
      <c r="G79" s="13">
        <v>34827</v>
      </c>
      <c r="H79" s="11">
        <f>2026-1995</f>
        <v>31</v>
      </c>
      <c r="I79" s="2" t="s">
        <v>399</v>
      </c>
      <c r="J79" s="2" t="s">
        <v>44</v>
      </c>
      <c r="K79" s="12" t="s">
        <v>45</v>
      </c>
      <c r="L79" s="2" t="s">
        <v>46</v>
      </c>
      <c r="M79" s="2" t="s">
        <v>46</v>
      </c>
      <c r="N79" s="12" t="s">
        <v>583</v>
      </c>
      <c r="O79" s="2" t="s">
        <v>47</v>
      </c>
      <c r="P79" s="46" t="s">
        <v>793</v>
      </c>
      <c r="Q79" s="2" t="s">
        <v>638</v>
      </c>
      <c r="R79" s="2" t="s">
        <v>397</v>
      </c>
      <c r="S79" s="5">
        <v>45894</v>
      </c>
      <c r="T79" s="5">
        <v>46259</v>
      </c>
      <c r="U79" s="2">
        <v>12</v>
      </c>
      <c r="V79" s="40" t="s">
        <v>630</v>
      </c>
      <c r="AA79" s="41"/>
      <c r="AB79" s="2"/>
      <c r="AC79" s="2" t="s">
        <v>805</v>
      </c>
      <c r="AD79" s="2" t="s">
        <v>507</v>
      </c>
      <c r="AE79" s="4">
        <v>40</v>
      </c>
      <c r="AJ79" s="21" t="s">
        <v>430</v>
      </c>
      <c r="AK79" s="2" t="s">
        <v>49</v>
      </c>
      <c r="AL79" s="12" t="s">
        <v>420</v>
      </c>
      <c r="AM79" s="42" t="s">
        <v>78</v>
      </c>
      <c r="AN79" s="12" t="s">
        <v>245</v>
      </c>
      <c r="AO79" s="12" t="s">
        <v>49</v>
      </c>
      <c r="AP79" s="12" t="s">
        <v>416</v>
      </c>
      <c r="AQ79" s="42" t="s">
        <v>232</v>
      </c>
      <c r="AR79" s="12"/>
      <c r="AS79" s="12"/>
      <c r="AT79" s="12"/>
      <c r="AU79" s="42"/>
      <c r="AV79" s="7">
        <v>48.4</v>
      </c>
      <c r="AW79" s="13">
        <v>46266</v>
      </c>
      <c r="AX79" s="13">
        <v>46266</v>
      </c>
      <c r="AY79" s="13">
        <v>46266</v>
      </c>
      <c r="AZ79" s="12"/>
      <c r="BA79" s="2" t="s">
        <v>51</v>
      </c>
      <c r="BB79" s="2" t="s">
        <v>52</v>
      </c>
      <c r="BC79" s="2" t="s">
        <v>398</v>
      </c>
      <c r="BD79" s="2" t="s">
        <v>397</v>
      </c>
      <c r="BE79" s="43">
        <v>0.66666666666666663</v>
      </c>
      <c r="BF79" s="4" t="str">
        <f t="shared" si="3"/>
        <v>1401065790</v>
      </c>
      <c r="BG79" s="11" t="str">
        <f t="shared" si="3"/>
        <v>EXCCL-5011464</v>
      </c>
      <c r="BH79" s="11"/>
      <c r="BI79" s="33"/>
      <c r="BJ79" s="156"/>
    </row>
    <row r="80" spans="1:62" ht="15" customHeight="1" x14ac:dyDescent="0.35">
      <c r="A80" s="11" t="s">
        <v>226</v>
      </c>
      <c r="B80" s="151" t="s">
        <v>942</v>
      </c>
      <c r="C80" s="21" t="s">
        <v>295</v>
      </c>
      <c r="D80" s="12" t="s">
        <v>299</v>
      </c>
      <c r="E80" s="88" t="s">
        <v>300</v>
      </c>
      <c r="F80" s="11" t="s">
        <v>769</v>
      </c>
      <c r="G80" s="13">
        <v>27511</v>
      </c>
      <c r="H80" s="11">
        <f>2026-1975</f>
        <v>51</v>
      </c>
      <c r="I80" s="2" t="s">
        <v>399</v>
      </c>
      <c r="J80" s="2" t="s">
        <v>44</v>
      </c>
      <c r="K80" s="12" t="s">
        <v>45</v>
      </c>
      <c r="L80" s="2" t="s">
        <v>46</v>
      </c>
      <c r="M80" s="2" t="s">
        <v>46</v>
      </c>
      <c r="N80" s="12" t="s">
        <v>584</v>
      </c>
      <c r="O80" s="2" t="s">
        <v>47</v>
      </c>
      <c r="P80" s="46" t="s">
        <v>790</v>
      </c>
      <c r="Q80" s="2" t="s">
        <v>638</v>
      </c>
      <c r="R80" s="2" t="s">
        <v>397</v>
      </c>
      <c r="S80" s="5">
        <v>45894</v>
      </c>
      <c r="T80" s="5">
        <v>46259</v>
      </c>
      <c r="U80" s="2">
        <v>12</v>
      </c>
      <c r="V80" s="40" t="s">
        <v>632</v>
      </c>
      <c r="AA80" s="41"/>
      <c r="AB80" s="2"/>
      <c r="AC80" s="2" t="s">
        <v>805</v>
      </c>
      <c r="AD80" s="2" t="s">
        <v>507</v>
      </c>
      <c r="AE80" s="4">
        <v>40</v>
      </c>
      <c r="AJ80" s="21" t="s">
        <v>431</v>
      </c>
      <c r="AK80" s="2" t="s">
        <v>49</v>
      </c>
      <c r="AL80" s="12" t="s">
        <v>416</v>
      </c>
      <c r="AM80" s="42" t="s">
        <v>425</v>
      </c>
      <c r="AN80" s="12" t="s">
        <v>231</v>
      </c>
      <c r="AO80" s="12" t="s">
        <v>49</v>
      </c>
      <c r="AP80" s="12" t="s">
        <v>416</v>
      </c>
      <c r="AQ80" s="42" t="s">
        <v>452</v>
      </c>
      <c r="AR80" s="12" t="s">
        <v>453</v>
      </c>
      <c r="AS80" s="12" t="s">
        <v>49</v>
      </c>
      <c r="AT80" s="12" t="s">
        <v>488</v>
      </c>
      <c r="AU80" s="42" t="s">
        <v>454</v>
      </c>
      <c r="AV80" s="7">
        <v>48.4</v>
      </c>
      <c r="AW80" s="13">
        <v>46266</v>
      </c>
      <c r="AX80" s="13">
        <v>46266</v>
      </c>
      <c r="AY80" s="13">
        <v>46266</v>
      </c>
      <c r="AZ80" s="12"/>
      <c r="BA80" s="2" t="s">
        <v>51</v>
      </c>
      <c r="BB80" s="2" t="s">
        <v>52</v>
      </c>
      <c r="BC80" s="2" t="s">
        <v>398</v>
      </c>
      <c r="BD80" s="2" t="s">
        <v>397</v>
      </c>
      <c r="BE80" s="43">
        <v>0.66666666666666663</v>
      </c>
      <c r="BF80" s="4" t="str">
        <f t="shared" si="3"/>
        <v>0103356408</v>
      </c>
      <c r="BG80" s="11" t="str">
        <f t="shared" si="3"/>
        <v>EXCCL-7886939</v>
      </c>
      <c r="BH80" s="11"/>
      <c r="BI80" s="33"/>
      <c r="BJ80" s="156"/>
    </row>
    <row r="81" spans="1:62" ht="15" customHeight="1" x14ac:dyDescent="0.35">
      <c r="A81" s="11" t="s">
        <v>226</v>
      </c>
      <c r="B81" s="151" t="s">
        <v>943</v>
      </c>
      <c r="C81" s="21" t="s">
        <v>298</v>
      </c>
      <c r="D81" s="12" t="s">
        <v>302</v>
      </c>
      <c r="E81" s="16" t="s">
        <v>303</v>
      </c>
      <c r="F81" s="11" t="s">
        <v>770</v>
      </c>
      <c r="G81" s="13">
        <v>33434</v>
      </c>
      <c r="H81" s="11">
        <f>2026-1991</f>
        <v>35</v>
      </c>
      <c r="I81" s="2" t="s">
        <v>399</v>
      </c>
      <c r="J81" s="2" t="s">
        <v>44</v>
      </c>
      <c r="K81" s="12" t="s">
        <v>45</v>
      </c>
      <c r="L81" s="2" t="s">
        <v>46</v>
      </c>
      <c r="M81" s="2" t="s">
        <v>46</v>
      </c>
      <c r="N81" s="12" t="s">
        <v>585</v>
      </c>
      <c r="O81" s="2" t="s">
        <v>47</v>
      </c>
      <c r="P81" s="46" t="s">
        <v>794</v>
      </c>
      <c r="Q81" s="2" t="s">
        <v>638</v>
      </c>
      <c r="R81" s="2" t="s">
        <v>397</v>
      </c>
      <c r="S81" s="5">
        <v>45894</v>
      </c>
      <c r="T81" s="5">
        <v>46259</v>
      </c>
      <c r="U81" s="2">
        <v>12</v>
      </c>
      <c r="V81" s="40" t="s">
        <v>632</v>
      </c>
      <c r="AA81" s="41"/>
      <c r="AB81" s="2"/>
      <c r="AC81" s="2" t="s">
        <v>805</v>
      </c>
      <c r="AD81" s="2" t="s">
        <v>507</v>
      </c>
      <c r="AE81" s="4">
        <v>40</v>
      </c>
      <c r="AF81" s="2"/>
      <c r="AG81" s="2"/>
      <c r="AH81" s="2"/>
      <c r="AJ81" s="21"/>
      <c r="AK81" s="12"/>
      <c r="AL81" s="12"/>
      <c r="AM81" s="42"/>
      <c r="AN81" s="12" t="s">
        <v>455</v>
      </c>
      <c r="AO81" s="12" t="s">
        <v>49</v>
      </c>
      <c r="AP81" s="12" t="s">
        <v>489</v>
      </c>
      <c r="AQ81" s="42" t="s">
        <v>232</v>
      </c>
      <c r="AR81" s="12" t="s">
        <v>245</v>
      </c>
      <c r="AS81" s="12" t="s">
        <v>49</v>
      </c>
      <c r="AT81" s="12" t="s">
        <v>416</v>
      </c>
      <c r="AU81" s="42" t="s">
        <v>246</v>
      </c>
      <c r="AV81" s="7">
        <v>48.4</v>
      </c>
      <c r="AW81" s="13">
        <v>46266</v>
      </c>
      <c r="AX81" s="13">
        <v>46266</v>
      </c>
      <c r="AY81" s="13">
        <v>46266</v>
      </c>
      <c r="AZ81" s="12"/>
      <c r="BA81" s="2" t="s">
        <v>51</v>
      </c>
      <c r="BB81" s="2" t="s">
        <v>52</v>
      </c>
      <c r="BC81" s="2" t="s">
        <v>398</v>
      </c>
      <c r="BD81" s="2" t="s">
        <v>397</v>
      </c>
      <c r="BE81" s="43">
        <v>0.66666666666666663</v>
      </c>
      <c r="BF81" s="4" t="str">
        <f t="shared" si="3"/>
        <v>1104892037</v>
      </c>
      <c r="BG81" s="11" t="str">
        <f t="shared" si="3"/>
        <v>EXCCL-2090894</v>
      </c>
      <c r="BH81" s="11"/>
      <c r="BI81" s="33"/>
      <c r="BJ81" s="156"/>
    </row>
    <row r="82" spans="1:62" ht="15" customHeight="1" x14ac:dyDescent="0.35">
      <c r="A82" s="11" t="s">
        <v>94</v>
      </c>
      <c r="B82" s="151" t="s">
        <v>944</v>
      </c>
      <c r="C82" s="21" t="s">
        <v>301</v>
      </c>
      <c r="D82" s="12" t="s">
        <v>305</v>
      </c>
      <c r="E82" s="88" t="s">
        <v>306</v>
      </c>
      <c r="F82" s="11" t="s">
        <v>771</v>
      </c>
      <c r="G82" s="13">
        <v>32917</v>
      </c>
      <c r="H82" s="11">
        <f>2026-1990</f>
        <v>36</v>
      </c>
      <c r="I82" s="2" t="s">
        <v>399</v>
      </c>
      <c r="J82" s="2" t="s">
        <v>44</v>
      </c>
      <c r="K82" s="12" t="s">
        <v>45</v>
      </c>
      <c r="L82" s="2" t="s">
        <v>46</v>
      </c>
      <c r="M82" s="2" t="s">
        <v>46</v>
      </c>
      <c r="N82" s="12" t="s">
        <v>586</v>
      </c>
      <c r="O82" s="2" t="s">
        <v>47</v>
      </c>
      <c r="P82" s="46" t="s">
        <v>795</v>
      </c>
      <c r="Q82" s="2" t="s">
        <v>638</v>
      </c>
      <c r="R82" s="2" t="s">
        <v>397</v>
      </c>
      <c r="S82" s="5">
        <v>45894</v>
      </c>
      <c r="T82" s="5">
        <v>46259</v>
      </c>
      <c r="U82" s="2">
        <v>12</v>
      </c>
      <c r="V82" s="40" t="s">
        <v>630</v>
      </c>
      <c r="AA82" s="41"/>
      <c r="AB82" s="2"/>
      <c r="AC82" s="2" t="s">
        <v>805</v>
      </c>
      <c r="AD82" s="2" t="s">
        <v>507</v>
      </c>
      <c r="AE82" s="4">
        <v>40</v>
      </c>
      <c r="AF82" s="2"/>
      <c r="AG82" s="2"/>
      <c r="AH82" s="2"/>
      <c r="AJ82" s="21"/>
      <c r="AK82" s="12"/>
      <c r="AL82" s="12"/>
      <c r="AM82" s="42"/>
      <c r="AN82" s="12" t="s">
        <v>456</v>
      </c>
      <c r="AO82" s="12" t="s">
        <v>49</v>
      </c>
      <c r="AP82" s="12" t="s">
        <v>486</v>
      </c>
      <c r="AQ82" s="42" t="s">
        <v>457</v>
      </c>
      <c r="AR82" s="12"/>
      <c r="AS82" s="12"/>
      <c r="AT82" s="12"/>
      <c r="AU82" s="42"/>
      <c r="AV82" s="7">
        <v>48.4</v>
      </c>
      <c r="AW82" s="13">
        <v>46266</v>
      </c>
      <c r="AX82" s="13">
        <v>46266</v>
      </c>
      <c r="AY82" s="13">
        <v>46266</v>
      </c>
      <c r="AZ82" s="12"/>
      <c r="BA82" s="2" t="s">
        <v>51</v>
      </c>
      <c r="BB82" s="2" t="s">
        <v>52</v>
      </c>
      <c r="BC82" s="2" t="s">
        <v>398</v>
      </c>
      <c r="BD82" s="2" t="s">
        <v>397</v>
      </c>
      <c r="BE82" s="43">
        <v>0.66666666666666663</v>
      </c>
      <c r="BF82" s="4" t="str">
        <f t="shared" si="3"/>
        <v>1600462590</v>
      </c>
      <c r="BG82" s="11" t="str">
        <f t="shared" si="3"/>
        <v>EXCCL-5344133</v>
      </c>
      <c r="BH82" s="11"/>
      <c r="BI82" s="33"/>
      <c r="BJ82" s="156"/>
    </row>
    <row r="83" spans="1:62" ht="15" customHeight="1" x14ac:dyDescent="0.35">
      <c r="A83" s="11" t="s">
        <v>94</v>
      </c>
      <c r="B83" s="151" t="s">
        <v>945</v>
      </c>
      <c r="C83" s="21" t="s">
        <v>304</v>
      </c>
      <c r="D83" s="12" t="s">
        <v>308</v>
      </c>
      <c r="E83" s="16" t="s">
        <v>309</v>
      </c>
      <c r="F83" s="11" t="s">
        <v>772</v>
      </c>
      <c r="G83" s="13">
        <v>30700</v>
      </c>
      <c r="H83" s="11">
        <f>2026-1984</f>
        <v>42</v>
      </c>
      <c r="I83" s="2" t="s">
        <v>399</v>
      </c>
      <c r="J83" s="2" t="s">
        <v>44</v>
      </c>
      <c r="K83" s="12" t="s">
        <v>45</v>
      </c>
      <c r="L83" s="2" t="s">
        <v>46</v>
      </c>
      <c r="M83" s="2" t="s">
        <v>46</v>
      </c>
      <c r="N83" s="12" t="s">
        <v>587</v>
      </c>
      <c r="O83" s="2" t="s">
        <v>47</v>
      </c>
      <c r="P83" s="46" t="s">
        <v>796</v>
      </c>
      <c r="Q83" s="2" t="s">
        <v>638</v>
      </c>
      <c r="R83" s="2" t="s">
        <v>397</v>
      </c>
      <c r="S83" s="5">
        <v>45894</v>
      </c>
      <c r="T83" s="5">
        <v>46259</v>
      </c>
      <c r="U83" s="2">
        <v>12</v>
      </c>
      <c r="V83" s="40" t="s">
        <v>630</v>
      </c>
      <c r="AA83" s="41"/>
      <c r="AB83" s="2"/>
      <c r="AC83" s="2" t="s">
        <v>805</v>
      </c>
      <c r="AD83" s="2" t="s">
        <v>507</v>
      </c>
      <c r="AE83" s="4">
        <v>40</v>
      </c>
      <c r="AJ83" s="21" t="s">
        <v>90</v>
      </c>
      <c r="AK83" s="2" t="s">
        <v>49</v>
      </c>
      <c r="AL83" s="12" t="s">
        <v>46</v>
      </c>
      <c r="AM83" s="42" t="s">
        <v>78</v>
      </c>
      <c r="AN83" s="12" t="s">
        <v>458</v>
      </c>
      <c r="AO83" s="12" t="s">
        <v>49</v>
      </c>
      <c r="AP83" s="12" t="s">
        <v>488</v>
      </c>
      <c r="AQ83" s="42" t="s">
        <v>232</v>
      </c>
      <c r="AR83" s="12"/>
      <c r="AS83" s="12"/>
      <c r="AT83" s="12"/>
      <c r="AU83" s="42"/>
      <c r="AV83" s="7">
        <v>48.4</v>
      </c>
      <c r="AW83" s="13">
        <v>46266</v>
      </c>
      <c r="AX83" s="13">
        <v>46266</v>
      </c>
      <c r="AY83" s="13">
        <v>46266</v>
      </c>
      <c r="AZ83" s="12"/>
      <c r="BA83" s="2" t="s">
        <v>51</v>
      </c>
      <c r="BB83" s="2" t="s">
        <v>52</v>
      </c>
      <c r="BC83" s="2" t="s">
        <v>398</v>
      </c>
      <c r="BD83" s="2" t="s">
        <v>397</v>
      </c>
      <c r="BE83" s="43">
        <v>0.66666666666666663</v>
      </c>
      <c r="BF83" s="4" t="str">
        <f t="shared" si="3"/>
        <v>1400567200</v>
      </c>
      <c r="BG83" s="11" t="str">
        <f t="shared" si="3"/>
        <v>EXCCL-7075513</v>
      </c>
      <c r="BH83" s="11"/>
      <c r="BI83" s="33"/>
      <c r="BJ83" s="156"/>
    </row>
    <row r="84" spans="1:62" ht="15" customHeight="1" x14ac:dyDescent="0.35">
      <c r="A84" s="11" t="s">
        <v>226</v>
      </c>
      <c r="B84" s="151" t="s">
        <v>946</v>
      </c>
      <c r="C84" s="21" t="s">
        <v>307</v>
      </c>
      <c r="D84" s="12" t="s">
        <v>311</v>
      </c>
      <c r="E84" s="16" t="s">
        <v>312</v>
      </c>
      <c r="F84" s="11" t="s">
        <v>773</v>
      </c>
      <c r="G84" s="13">
        <v>36363</v>
      </c>
      <c r="H84" s="11">
        <f>2026-1999</f>
        <v>27</v>
      </c>
      <c r="I84" s="2" t="s">
        <v>399</v>
      </c>
      <c r="J84" s="2" t="s">
        <v>44</v>
      </c>
      <c r="K84" s="12" t="s">
        <v>45</v>
      </c>
      <c r="L84" s="2" t="s">
        <v>46</v>
      </c>
      <c r="M84" s="2" t="s">
        <v>46</v>
      </c>
      <c r="N84" s="12" t="s">
        <v>588</v>
      </c>
      <c r="O84" s="2" t="s">
        <v>47</v>
      </c>
      <c r="P84" s="46" t="s">
        <v>797</v>
      </c>
      <c r="Q84" s="2" t="s">
        <v>638</v>
      </c>
      <c r="R84" s="2" t="s">
        <v>397</v>
      </c>
      <c r="S84" s="5">
        <v>45894</v>
      </c>
      <c r="T84" s="5">
        <v>46259</v>
      </c>
      <c r="U84" s="2">
        <v>12</v>
      </c>
      <c r="V84" s="40" t="s">
        <v>632</v>
      </c>
      <c r="AA84" s="41"/>
      <c r="AB84" s="2"/>
      <c r="AC84" s="2" t="s">
        <v>805</v>
      </c>
      <c r="AD84" s="2" t="s">
        <v>507</v>
      </c>
      <c r="AE84" s="4">
        <v>40</v>
      </c>
      <c r="AJ84" s="21" t="s">
        <v>432</v>
      </c>
      <c r="AK84" s="2" t="s">
        <v>49</v>
      </c>
      <c r="AL84" s="12" t="s">
        <v>46</v>
      </c>
      <c r="AM84" s="42" t="s">
        <v>78</v>
      </c>
      <c r="AN84" s="12" t="s">
        <v>243</v>
      </c>
      <c r="AO84" s="12" t="s">
        <v>49</v>
      </c>
      <c r="AP84" s="12" t="s">
        <v>416</v>
      </c>
      <c r="AQ84" s="42" t="s">
        <v>459</v>
      </c>
      <c r="AR84" s="12" t="s">
        <v>262</v>
      </c>
      <c r="AS84" s="12" t="s">
        <v>400</v>
      </c>
      <c r="AT84" s="12" t="s">
        <v>422</v>
      </c>
      <c r="AU84" s="42" t="s">
        <v>460</v>
      </c>
      <c r="AV84" s="7">
        <v>48.4</v>
      </c>
      <c r="AW84" s="13">
        <v>46266</v>
      </c>
      <c r="AX84" s="13">
        <v>46266</v>
      </c>
      <c r="AY84" s="13">
        <v>46266</v>
      </c>
      <c r="AZ84" s="12"/>
      <c r="BA84" s="2" t="s">
        <v>51</v>
      </c>
      <c r="BB84" s="2" t="s">
        <v>52</v>
      </c>
      <c r="BC84" s="2" t="s">
        <v>398</v>
      </c>
      <c r="BD84" s="2" t="s">
        <v>397</v>
      </c>
      <c r="BE84" s="43">
        <v>0.66666666666666663</v>
      </c>
      <c r="BF84" s="4" t="str">
        <f t="shared" si="3"/>
        <v>1400714851</v>
      </c>
      <c r="BG84" s="11" t="str">
        <f t="shared" si="3"/>
        <v>EXCCL-1339657</v>
      </c>
      <c r="BH84" s="11"/>
      <c r="BI84" s="33"/>
      <c r="BJ84" s="156"/>
    </row>
    <row r="85" spans="1:62" ht="15" customHeight="1" x14ac:dyDescent="0.35">
      <c r="A85" s="11" t="s">
        <v>94</v>
      </c>
      <c r="B85" s="151" t="s">
        <v>947</v>
      </c>
      <c r="C85" s="21" t="s">
        <v>310</v>
      </c>
      <c r="D85" s="12" t="s">
        <v>314</v>
      </c>
      <c r="E85" s="16">
        <v>1400968879</v>
      </c>
      <c r="F85" s="11" t="s">
        <v>774</v>
      </c>
      <c r="G85" s="13">
        <v>33082</v>
      </c>
      <c r="H85" s="11">
        <f>2026-1990</f>
        <v>36</v>
      </c>
      <c r="I85" s="2" t="s">
        <v>399</v>
      </c>
      <c r="J85" s="2" t="s">
        <v>44</v>
      </c>
      <c r="K85" s="12" t="s">
        <v>45</v>
      </c>
      <c r="L85" s="2" t="s">
        <v>46</v>
      </c>
      <c r="M85" s="2" t="s">
        <v>46</v>
      </c>
      <c r="N85" s="12" t="s">
        <v>589</v>
      </c>
      <c r="O85" s="2" t="s">
        <v>47</v>
      </c>
      <c r="P85" s="46" t="s">
        <v>798</v>
      </c>
      <c r="Q85" s="2" t="s">
        <v>638</v>
      </c>
      <c r="R85" s="2" t="s">
        <v>397</v>
      </c>
      <c r="S85" s="5">
        <v>45894</v>
      </c>
      <c r="T85" s="5">
        <v>46259</v>
      </c>
      <c r="U85" s="2">
        <v>12</v>
      </c>
      <c r="V85" s="40" t="s">
        <v>630</v>
      </c>
      <c r="AA85" s="41"/>
      <c r="AB85" s="2"/>
      <c r="AC85" s="2" t="s">
        <v>805</v>
      </c>
      <c r="AD85" s="2" t="s">
        <v>507</v>
      </c>
      <c r="AE85" s="4">
        <v>40</v>
      </c>
      <c r="AJ85" s="21" t="s">
        <v>110</v>
      </c>
      <c r="AK85" s="2" t="s">
        <v>49</v>
      </c>
      <c r="AL85" s="12" t="s">
        <v>404</v>
      </c>
      <c r="AM85" s="42" t="s">
        <v>78</v>
      </c>
      <c r="AN85" s="12" t="s">
        <v>461</v>
      </c>
      <c r="AO85" s="12" t="s">
        <v>49</v>
      </c>
      <c r="AP85" s="12" t="s">
        <v>485</v>
      </c>
      <c r="AQ85" s="42" t="s">
        <v>232</v>
      </c>
      <c r="AR85" s="12"/>
      <c r="AS85" s="12"/>
      <c r="AT85" s="12"/>
      <c r="AU85" s="42"/>
      <c r="AV85" s="7">
        <v>48.4</v>
      </c>
      <c r="AW85" s="13">
        <v>46266</v>
      </c>
      <c r="AX85" s="13">
        <v>46266</v>
      </c>
      <c r="AY85" s="13">
        <v>46266</v>
      </c>
      <c r="AZ85" s="12"/>
      <c r="BA85" s="2" t="s">
        <v>51</v>
      </c>
      <c r="BB85" s="2" t="s">
        <v>52</v>
      </c>
      <c r="BC85" s="2" t="s">
        <v>398</v>
      </c>
      <c r="BD85" s="2" t="s">
        <v>397</v>
      </c>
      <c r="BE85" s="43">
        <v>0.66666666666666663</v>
      </c>
      <c r="BF85" s="4">
        <f t="shared" si="3"/>
        <v>1400968879</v>
      </c>
      <c r="BG85" s="11" t="str">
        <f t="shared" si="3"/>
        <v>EXCCL-8323169</v>
      </c>
      <c r="BH85" s="11"/>
      <c r="BI85" s="33"/>
      <c r="BJ85" s="156"/>
    </row>
    <row r="86" spans="1:62" ht="15" customHeight="1" x14ac:dyDescent="0.35">
      <c r="A86" s="11" t="s">
        <v>94</v>
      </c>
      <c r="B86" s="151" t="s">
        <v>948</v>
      </c>
      <c r="C86" s="34" t="s">
        <v>313</v>
      </c>
      <c r="D86" s="35" t="s">
        <v>316</v>
      </c>
      <c r="E86" s="107" t="s">
        <v>317</v>
      </c>
      <c r="F86" s="37" t="s">
        <v>775</v>
      </c>
      <c r="G86" s="79">
        <v>35705</v>
      </c>
      <c r="H86" s="37">
        <f>2026-1997</f>
        <v>29</v>
      </c>
      <c r="I86" s="38" t="s">
        <v>399</v>
      </c>
      <c r="J86" s="38" t="s">
        <v>44</v>
      </c>
      <c r="K86" s="35" t="s">
        <v>45</v>
      </c>
      <c r="L86" s="38" t="s">
        <v>46</v>
      </c>
      <c r="M86" s="38" t="s">
        <v>46</v>
      </c>
      <c r="N86" s="35" t="s">
        <v>590</v>
      </c>
      <c r="O86" s="38" t="s">
        <v>47</v>
      </c>
      <c r="P86" s="75" t="s">
        <v>799</v>
      </c>
      <c r="Q86" s="38" t="s">
        <v>638</v>
      </c>
      <c r="R86" s="38" t="s">
        <v>397</v>
      </c>
      <c r="S86" s="74">
        <v>45894</v>
      </c>
      <c r="T86" s="74">
        <v>46259</v>
      </c>
      <c r="U86" s="38">
        <v>12</v>
      </c>
      <c r="V86" s="76" t="s">
        <v>630</v>
      </c>
      <c r="W86" s="80"/>
      <c r="X86" s="80"/>
      <c r="Y86" s="80"/>
      <c r="Z86" s="80"/>
      <c r="AA86" s="81"/>
      <c r="AB86" s="38"/>
      <c r="AC86" s="38" t="s">
        <v>805</v>
      </c>
      <c r="AD86" s="38" t="s">
        <v>507</v>
      </c>
      <c r="AE86" s="45">
        <v>40</v>
      </c>
      <c r="AF86" s="80"/>
      <c r="AG86" s="80"/>
      <c r="AH86" s="80"/>
      <c r="AI86" s="80"/>
      <c r="AJ86" s="34" t="s">
        <v>432</v>
      </c>
      <c r="AK86" s="38" t="s">
        <v>49</v>
      </c>
      <c r="AL86" s="35" t="s">
        <v>46</v>
      </c>
      <c r="AM86" s="82" t="s">
        <v>78</v>
      </c>
      <c r="AN86" s="35" t="s">
        <v>245</v>
      </c>
      <c r="AO86" s="35" t="s">
        <v>49</v>
      </c>
      <c r="AP86" s="35" t="s">
        <v>416</v>
      </c>
      <c r="AQ86" s="82" t="s">
        <v>232</v>
      </c>
      <c r="AR86" s="35"/>
      <c r="AS86" s="35"/>
      <c r="AT86" s="35"/>
      <c r="AU86" s="82"/>
      <c r="AV86" s="77">
        <v>48.4</v>
      </c>
      <c r="AW86" s="79">
        <v>46266</v>
      </c>
      <c r="AX86" s="79">
        <v>46266</v>
      </c>
      <c r="AY86" s="79">
        <v>46266</v>
      </c>
      <c r="AZ86" s="35"/>
      <c r="BA86" s="38" t="s">
        <v>51</v>
      </c>
      <c r="BB86" s="38" t="s">
        <v>52</v>
      </c>
      <c r="BC86" s="38" t="s">
        <v>398</v>
      </c>
      <c r="BD86" s="38" t="s">
        <v>397</v>
      </c>
      <c r="BE86" s="44">
        <v>0.66666666666666663</v>
      </c>
      <c r="BF86" s="45" t="str">
        <f t="shared" si="3"/>
        <v>1400733810</v>
      </c>
      <c r="BG86" s="37" t="str">
        <f t="shared" si="3"/>
        <v>EXCCL-1452561</v>
      </c>
      <c r="BH86" s="37"/>
      <c r="BI86" s="102"/>
      <c r="BJ86" s="156"/>
    </row>
    <row r="87" spans="1:62" ht="15" customHeight="1" x14ac:dyDescent="0.35">
      <c r="A87" s="11" t="s">
        <v>94</v>
      </c>
      <c r="B87" s="151" t="s">
        <v>949</v>
      </c>
      <c r="C87" s="21" t="s">
        <v>315</v>
      </c>
      <c r="D87" s="12" t="s">
        <v>319</v>
      </c>
      <c r="E87" s="16" t="s">
        <v>320</v>
      </c>
      <c r="F87" s="11" t="s">
        <v>776</v>
      </c>
      <c r="G87" s="13">
        <v>30147</v>
      </c>
      <c r="H87" s="11">
        <f>2026-1982</f>
        <v>44</v>
      </c>
      <c r="I87" s="2" t="s">
        <v>399</v>
      </c>
      <c r="J87" s="2" t="s">
        <v>44</v>
      </c>
      <c r="K87" s="12" t="s">
        <v>45</v>
      </c>
      <c r="L87" s="2" t="s">
        <v>46</v>
      </c>
      <c r="M87" s="2" t="s">
        <v>46</v>
      </c>
      <c r="N87" s="12" t="s">
        <v>591</v>
      </c>
      <c r="O87" s="2" t="s">
        <v>47</v>
      </c>
      <c r="P87" s="46" t="s">
        <v>790</v>
      </c>
      <c r="Q87" s="2" t="s">
        <v>638</v>
      </c>
      <c r="R87" s="2" t="s">
        <v>397</v>
      </c>
      <c r="S87" s="5">
        <v>45894</v>
      </c>
      <c r="T87" s="5">
        <v>46259</v>
      </c>
      <c r="U87" s="2">
        <v>12</v>
      </c>
      <c r="V87" s="40" t="s">
        <v>630</v>
      </c>
      <c r="AA87" s="41"/>
      <c r="AB87" s="2"/>
      <c r="AC87" s="2" t="s">
        <v>805</v>
      </c>
      <c r="AD87" s="2" t="s">
        <v>507</v>
      </c>
      <c r="AE87" s="4">
        <v>40</v>
      </c>
      <c r="AJ87" s="21" t="s">
        <v>433</v>
      </c>
      <c r="AK87" s="2" t="s">
        <v>49</v>
      </c>
      <c r="AL87" s="12" t="s">
        <v>494</v>
      </c>
      <c r="AM87" s="42" t="s">
        <v>434</v>
      </c>
      <c r="AN87" s="12" t="s">
        <v>462</v>
      </c>
      <c r="AO87" s="12" t="s">
        <v>49</v>
      </c>
      <c r="AP87" s="12" t="s">
        <v>419</v>
      </c>
      <c r="AQ87" s="42" t="s">
        <v>463</v>
      </c>
      <c r="AR87" s="12"/>
      <c r="AS87" s="12"/>
      <c r="AT87" s="12"/>
      <c r="AU87" s="42"/>
      <c r="AV87" s="7">
        <v>48.4</v>
      </c>
      <c r="AW87" s="13">
        <v>46266</v>
      </c>
      <c r="AX87" s="13">
        <v>46266</v>
      </c>
      <c r="AY87" s="13">
        <v>46266</v>
      </c>
      <c r="AZ87" s="12"/>
      <c r="BA87" s="2" t="s">
        <v>51</v>
      </c>
      <c r="BB87" s="2" t="s">
        <v>52</v>
      </c>
      <c r="BC87" s="2" t="s">
        <v>398</v>
      </c>
      <c r="BD87" s="2" t="s">
        <v>397</v>
      </c>
      <c r="BE87" s="43">
        <v>0.75</v>
      </c>
      <c r="BF87" s="4" t="str">
        <f t="shared" si="3"/>
        <v>0301713723</v>
      </c>
      <c r="BG87" s="11" t="str">
        <f t="shared" si="3"/>
        <v>EXCCL-3871220</v>
      </c>
      <c r="BH87" s="11"/>
      <c r="BI87" s="33"/>
      <c r="BJ87" s="156"/>
    </row>
    <row r="88" spans="1:62" ht="15" customHeight="1" x14ac:dyDescent="0.35">
      <c r="A88" s="11"/>
      <c r="B88" s="151" t="s">
        <v>950</v>
      </c>
      <c r="C88" s="21" t="s">
        <v>318</v>
      </c>
      <c r="D88" s="12" t="s">
        <v>322</v>
      </c>
      <c r="E88" s="18">
        <v>1400702070</v>
      </c>
      <c r="F88" s="11" t="s">
        <v>777</v>
      </c>
      <c r="G88" s="13">
        <v>33596</v>
      </c>
      <c r="H88" s="11">
        <f>2026-1991</f>
        <v>35</v>
      </c>
      <c r="I88" s="2" t="s">
        <v>399</v>
      </c>
      <c r="J88" s="2" t="s">
        <v>44</v>
      </c>
      <c r="K88" s="12" t="s">
        <v>45</v>
      </c>
      <c r="L88" s="2" t="s">
        <v>46</v>
      </c>
      <c r="M88" s="2" t="s">
        <v>46</v>
      </c>
      <c r="N88" s="12" t="s">
        <v>592</v>
      </c>
      <c r="O88" s="2" t="s">
        <v>47</v>
      </c>
      <c r="P88" s="46" t="s">
        <v>800</v>
      </c>
      <c r="Q88" s="2" t="s">
        <v>638</v>
      </c>
      <c r="R88" s="2" t="s">
        <v>397</v>
      </c>
      <c r="S88" s="5">
        <v>45894</v>
      </c>
      <c r="T88" s="5">
        <v>46259</v>
      </c>
      <c r="U88" s="2">
        <v>12</v>
      </c>
      <c r="V88" s="40" t="s">
        <v>630</v>
      </c>
      <c r="AA88" s="41"/>
      <c r="AB88" s="2"/>
      <c r="AC88" s="2" t="s">
        <v>805</v>
      </c>
      <c r="AD88" s="2" t="s">
        <v>507</v>
      </c>
      <c r="AE88" s="4">
        <v>40</v>
      </c>
      <c r="AJ88" s="21" t="s">
        <v>435</v>
      </c>
      <c r="AK88" s="2" t="s">
        <v>49</v>
      </c>
      <c r="AL88" s="12" t="s">
        <v>495</v>
      </c>
      <c r="AM88" s="42" t="s">
        <v>78</v>
      </c>
      <c r="AN88" s="12"/>
      <c r="AO88" s="12"/>
      <c r="AP88" s="12"/>
      <c r="AQ88" s="42"/>
      <c r="AR88" s="12"/>
      <c r="AS88" s="12"/>
      <c r="AT88" s="12"/>
      <c r="AU88" s="42"/>
      <c r="AV88" s="7">
        <v>48.4</v>
      </c>
      <c r="AW88" s="13">
        <v>46266</v>
      </c>
      <c r="AX88" s="13">
        <v>46266</v>
      </c>
      <c r="AY88" s="13">
        <v>46266</v>
      </c>
      <c r="AZ88" s="12"/>
      <c r="BA88" s="2" t="s">
        <v>51</v>
      </c>
      <c r="BB88" s="2" t="s">
        <v>52</v>
      </c>
      <c r="BC88" s="2" t="s">
        <v>398</v>
      </c>
      <c r="BD88" s="2" t="s">
        <v>397</v>
      </c>
      <c r="BE88" s="43">
        <v>0.75</v>
      </c>
      <c r="BF88" s="4">
        <f t="shared" si="3"/>
        <v>1400702070</v>
      </c>
      <c r="BG88" s="11" t="str">
        <f t="shared" si="3"/>
        <v>EXCCL-9885214</v>
      </c>
      <c r="BH88" s="11"/>
      <c r="BI88" s="33"/>
      <c r="BJ88" s="156"/>
    </row>
    <row r="89" spans="1:62" ht="15" customHeight="1" x14ac:dyDescent="0.35">
      <c r="A89" s="11"/>
      <c r="B89" s="151" t="s">
        <v>951</v>
      </c>
      <c r="C89" s="21" t="s">
        <v>321</v>
      </c>
      <c r="D89" s="12" t="s">
        <v>324</v>
      </c>
      <c r="E89" s="17">
        <v>1400965602</v>
      </c>
      <c r="F89" s="11" t="s">
        <v>778</v>
      </c>
      <c r="G89" s="13">
        <v>35305</v>
      </c>
      <c r="H89" s="11">
        <f>2026-1996</f>
        <v>30</v>
      </c>
      <c r="I89" s="2" t="s">
        <v>399</v>
      </c>
      <c r="J89" s="2" t="s">
        <v>44</v>
      </c>
      <c r="K89" s="12" t="s">
        <v>45</v>
      </c>
      <c r="L89" s="2" t="s">
        <v>46</v>
      </c>
      <c r="M89" s="2" t="s">
        <v>46</v>
      </c>
      <c r="N89" s="12" t="s">
        <v>593</v>
      </c>
      <c r="O89" s="2" t="s">
        <v>47</v>
      </c>
      <c r="P89" s="46" t="s">
        <v>801</v>
      </c>
      <c r="Q89" s="2" t="s">
        <v>638</v>
      </c>
      <c r="R89" s="2" t="s">
        <v>397</v>
      </c>
      <c r="S89" s="5">
        <v>45894</v>
      </c>
      <c r="T89" s="5">
        <v>46259</v>
      </c>
      <c r="U89" s="2">
        <v>12</v>
      </c>
      <c r="V89" s="40" t="s">
        <v>629</v>
      </c>
      <c r="AA89" s="41"/>
      <c r="AB89" s="2"/>
      <c r="AC89" s="2" t="s">
        <v>805</v>
      </c>
      <c r="AD89" s="2" t="s">
        <v>507</v>
      </c>
      <c r="AE89" s="4">
        <v>40</v>
      </c>
      <c r="AJ89" s="21" t="s">
        <v>437</v>
      </c>
      <c r="AK89" s="2" t="s">
        <v>49</v>
      </c>
      <c r="AL89" s="12" t="s">
        <v>496</v>
      </c>
      <c r="AM89" s="42" t="s">
        <v>78</v>
      </c>
      <c r="AN89" s="12"/>
      <c r="AO89" s="12"/>
      <c r="AP89" s="12"/>
      <c r="AQ89" s="42"/>
      <c r="AR89" s="12"/>
      <c r="AS89" s="12"/>
      <c r="AT89" s="12"/>
      <c r="AU89" s="42"/>
      <c r="AV89" s="7">
        <v>48.4</v>
      </c>
      <c r="AW89" s="13">
        <v>46266</v>
      </c>
      <c r="AX89" s="13">
        <v>46266</v>
      </c>
      <c r="AY89" s="13">
        <v>46266</v>
      </c>
      <c r="AZ89" s="12"/>
      <c r="BA89" s="2" t="s">
        <v>51</v>
      </c>
      <c r="BB89" s="2" t="s">
        <v>52</v>
      </c>
      <c r="BC89" s="2" t="s">
        <v>398</v>
      </c>
      <c r="BD89" s="2" t="s">
        <v>397</v>
      </c>
      <c r="BE89" s="43">
        <v>0.75</v>
      </c>
      <c r="BF89" s="4">
        <f t="shared" si="3"/>
        <v>1400965602</v>
      </c>
      <c r="BG89" s="11" t="str">
        <f t="shared" si="3"/>
        <v>EXCCL-6435248</v>
      </c>
      <c r="BH89" s="11"/>
      <c r="BI89" s="33"/>
      <c r="BJ89" s="156"/>
    </row>
    <row r="90" spans="1:62" ht="15" customHeight="1" x14ac:dyDescent="0.35">
      <c r="A90" s="11" t="s">
        <v>94</v>
      </c>
      <c r="B90" s="151" t="s">
        <v>952</v>
      </c>
      <c r="C90" s="21" t="s">
        <v>323</v>
      </c>
      <c r="D90" s="12" t="s">
        <v>326</v>
      </c>
      <c r="E90" s="17" t="s">
        <v>327</v>
      </c>
      <c r="F90" s="11" t="s">
        <v>779</v>
      </c>
      <c r="G90" s="13">
        <v>30861</v>
      </c>
      <c r="H90" s="11">
        <f>2026-1984</f>
        <v>42</v>
      </c>
      <c r="I90" s="2" t="s">
        <v>399</v>
      </c>
      <c r="J90" s="2" t="s">
        <v>44</v>
      </c>
      <c r="K90" s="12" t="s">
        <v>45</v>
      </c>
      <c r="L90" s="2" t="s">
        <v>46</v>
      </c>
      <c r="M90" s="2" t="s">
        <v>46</v>
      </c>
      <c r="N90" s="12" t="s">
        <v>594</v>
      </c>
      <c r="O90" s="2" t="s">
        <v>47</v>
      </c>
      <c r="P90" s="46" t="s">
        <v>802</v>
      </c>
      <c r="Q90" s="2" t="s">
        <v>638</v>
      </c>
      <c r="R90" s="2" t="s">
        <v>397</v>
      </c>
      <c r="S90" s="5">
        <v>45894</v>
      </c>
      <c r="T90" s="5">
        <v>46259</v>
      </c>
      <c r="U90" s="2">
        <v>12</v>
      </c>
      <c r="V90" s="40" t="s">
        <v>629</v>
      </c>
      <c r="AA90" s="41"/>
      <c r="AB90" s="2"/>
      <c r="AC90" s="2" t="s">
        <v>805</v>
      </c>
      <c r="AD90" s="2" t="s">
        <v>507</v>
      </c>
      <c r="AE90" s="4">
        <v>40</v>
      </c>
      <c r="AJ90" s="21" t="s">
        <v>436</v>
      </c>
      <c r="AK90" s="2" t="s">
        <v>49</v>
      </c>
      <c r="AL90" s="12" t="s">
        <v>497</v>
      </c>
      <c r="AM90" s="42" t="s">
        <v>434</v>
      </c>
      <c r="AN90" s="12" t="s">
        <v>464</v>
      </c>
      <c r="AO90" s="12" t="s">
        <v>49</v>
      </c>
      <c r="AP90" s="12" t="s">
        <v>490</v>
      </c>
      <c r="AQ90" s="42" t="s">
        <v>465</v>
      </c>
      <c r="AR90" s="12"/>
      <c r="AS90" s="12"/>
      <c r="AT90" s="12"/>
      <c r="AU90" s="42"/>
      <c r="AV90" s="7">
        <v>48.4</v>
      </c>
      <c r="AW90" s="13">
        <v>46266</v>
      </c>
      <c r="AX90" s="13">
        <v>46266</v>
      </c>
      <c r="AY90" s="13">
        <v>46266</v>
      </c>
      <c r="AZ90" s="12"/>
      <c r="BA90" s="2" t="s">
        <v>51</v>
      </c>
      <c r="BB90" s="2" t="s">
        <v>52</v>
      </c>
      <c r="BC90" s="2" t="s">
        <v>398</v>
      </c>
      <c r="BD90" s="2" t="s">
        <v>397</v>
      </c>
      <c r="BE90" s="43">
        <v>0.75</v>
      </c>
      <c r="BF90" s="4" t="str">
        <f t="shared" si="3"/>
        <v>0704517408</v>
      </c>
      <c r="BG90" s="11" t="str">
        <f t="shared" si="3"/>
        <v>EXCCL-3432218</v>
      </c>
      <c r="BH90" s="11"/>
      <c r="BI90" s="33"/>
      <c r="BJ90" s="156"/>
    </row>
    <row r="91" spans="1:62" ht="15" customHeight="1" x14ac:dyDescent="0.35">
      <c r="A91" s="11" t="s">
        <v>94</v>
      </c>
      <c r="B91" s="151" t="s">
        <v>953</v>
      </c>
      <c r="C91" s="21" t="s">
        <v>325</v>
      </c>
      <c r="D91" s="12" t="s">
        <v>329</v>
      </c>
      <c r="E91" s="88" t="s">
        <v>330</v>
      </c>
      <c r="F91" s="11" t="s">
        <v>780</v>
      </c>
      <c r="G91" s="13">
        <v>31282</v>
      </c>
      <c r="H91" s="11">
        <f>2026-1985</f>
        <v>41</v>
      </c>
      <c r="I91" s="2" t="s">
        <v>399</v>
      </c>
      <c r="J91" s="2" t="s">
        <v>44</v>
      </c>
      <c r="K91" s="12" t="s">
        <v>45</v>
      </c>
      <c r="L91" s="2" t="s">
        <v>46</v>
      </c>
      <c r="M91" s="2" t="s">
        <v>46</v>
      </c>
      <c r="N91" s="12" t="s">
        <v>595</v>
      </c>
      <c r="O91" s="2" t="s">
        <v>47</v>
      </c>
      <c r="P91" s="46" t="s">
        <v>803</v>
      </c>
      <c r="Q91" s="2" t="s">
        <v>638</v>
      </c>
      <c r="R91" s="2" t="s">
        <v>397</v>
      </c>
      <c r="S91" s="5">
        <v>45894</v>
      </c>
      <c r="T91" s="5">
        <v>46259</v>
      </c>
      <c r="U91" s="2">
        <v>12</v>
      </c>
      <c r="V91" s="40" t="s">
        <v>630</v>
      </c>
      <c r="AA91" s="41"/>
      <c r="AB91" s="2"/>
      <c r="AC91" s="2" t="s">
        <v>805</v>
      </c>
      <c r="AD91" s="2" t="s">
        <v>507</v>
      </c>
      <c r="AE91" s="4">
        <v>40</v>
      </c>
      <c r="AJ91" s="21" t="s">
        <v>90</v>
      </c>
      <c r="AK91" s="2" t="s">
        <v>49</v>
      </c>
      <c r="AL91" s="12" t="s">
        <v>46</v>
      </c>
      <c r="AM91" s="42" t="s">
        <v>78</v>
      </c>
      <c r="AN91" s="12" t="s">
        <v>270</v>
      </c>
      <c r="AO91" s="12" t="s">
        <v>49</v>
      </c>
      <c r="AP91" s="12" t="s">
        <v>420</v>
      </c>
      <c r="AQ91" s="42" t="s">
        <v>451</v>
      </c>
      <c r="AR91" s="12"/>
      <c r="AS91" s="12"/>
      <c r="AT91" s="12"/>
      <c r="AU91" s="42"/>
      <c r="AV91" s="7">
        <v>48.4</v>
      </c>
      <c r="AW91" s="13">
        <v>46266</v>
      </c>
      <c r="AX91" s="13">
        <v>46266</v>
      </c>
      <c r="AY91" s="13">
        <v>46266</v>
      </c>
      <c r="AZ91" s="12"/>
      <c r="BA91" s="2" t="s">
        <v>51</v>
      </c>
      <c r="BB91" s="2" t="s">
        <v>52</v>
      </c>
      <c r="BC91" s="2" t="s">
        <v>398</v>
      </c>
      <c r="BD91" s="2" t="s">
        <v>397</v>
      </c>
      <c r="BE91" s="43">
        <v>0.75</v>
      </c>
      <c r="BF91" s="4" t="str">
        <f t="shared" si="3"/>
        <v>1400723472</v>
      </c>
      <c r="BG91" s="11" t="str">
        <f t="shared" si="3"/>
        <v>EXCCL-6608781</v>
      </c>
      <c r="BH91" s="11"/>
      <c r="BI91" s="33"/>
      <c r="BJ91" s="156"/>
    </row>
    <row r="92" spans="1:62" ht="15" customHeight="1" x14ac:dyDescent="0.35">
      <c r="A92" s="11" t="s">
        <v>94</v>
      </c>
      <c r="B92" s="151" t="s">
        <v>954</v>
      </c>
      <c r="C92" s="21" t="s">
        <v>328</v>
      </c>
      <c r="D92" s="12" t="s">
        <v>332</v>
      </c>
      <c r="E92" s="88" t="s">
        <v>333</v>
      </c>
      <c r="F92" s="11" t="s">
        <v>781</v>
      </c>
      <c r="G92" s="13">
        <v>31869</v>
      </c>
      <c r="H92" s="11">
        <f>2026-1987</f>
        <v>39</v>
      </c>
      <c r="I92" s="2" t="s">
        <v>399</v>
      </c>
      <c r="J92" s="2" t="s">
        <v>44</v>
      </c>
      <c r="K92" s="12" t="s">
        <v>45</v>
      </c>
      <c r="L92" s="2" t="s">
        <v>46</v>
      </c>
      <c r="M92" s="2" t="s">
        <v>46</v>
      </c>
      <c r="N92" s="12" t="s">
        <v>596</v>
      </c>
      <c r="O92" s="2" t="s">
        <v>47</v>
      </c>
      <c r="P92" s="46" t="s">
        <v>649</v>
      </c>
      <c r="Q92" s="2" t="s">
        <v>638</v>
      </c>
      <c r="R92" s="2" t="s">
        <v>397</v>
      </c>
      <c r="S92" s="5">
        <v>45894</v>
      </c>
      <c r="T92" s="5">
        <v>46259</v>
      </c>
      <c r="U92" s="2">
        <v>12</v>
      </c>
      <c r="V92" s="40" t="s">
        <v>630</v>
      </c>
      <c r="AA92" s="41"/>
      <c r="AB92" s="2"/>
      <c r="AC92" s="2" t="s">
        <v>805</v>
      </c>
      <c r="AD92" s="2" t="s">
        <v>507</v>
      </c>
      <c r="AE92" s="4">
        <v>40</v>
      </c>
      <c r="AJ92" s="21" t="s">
        <v>110</v>
      </c>
      <c r="AK92" s="2" t="s">
        <v>49</v>
      </c>
      <c r="AL92" s="12" t="s">
        <v>404</v>
      </c>
      <c r="AM92" s="42" t="s">
        <v>78</v>
      </c>
      <c r="AN92" s="12" t="s">
        <v>111</v>
      </c>
      <c r="AO92" s="12" t="s">
        <v>49</v>
      </c>
      <c r="AP92" s="12" t="s">
        <v>418</v>
      </c>
      <c r="AQ92" s="42" t="s">
        <v>473</v>
      </c>
      <c r="AR92" s="12"/>
      <c r="AS92" s="12"/>
      <c r="AT92" s="12"/>
      <c r="AU92" s="42"/>
      <c r="AV92" s="7">
        <v>48.4</v>
      </c>
      <c r="AW92" s="13">
        <v>46266</v>
      </c>
      <c r="AX92" s="13">
        <v>46266</v>
      </c>
      <c r="AY92" s="13">
        <v>46266</v>
      </c>
      <c r="AZ92" s="12"/>
      <c r="BA92" s="2" t="s">
        <v>51</v>
      </c>
      <c r="BB92" s="2" t="s">
        <v>52</v>
      </c>
      <c r="BC92" s="2" t="s">
        <v>398</v>
      </c>
      <c r="BD92" s="2" t="s">
        <v>397</v>
      </c>
      <c r="BE92" s="43">
        <v>0.75</v>
      </c>
      <c r="BF92" s="4" t="str">
        <f t="shared" si="3"/>
        <v>1400777171</v>
      </c>
      <c r="BG92" s="11" t="str">
        <f t="shared" si="3"/>
        <v>EXCCL-5342216</v>
      </c>
      <c r="BH92" s="11"/>
      <c r="BI92" s="33"/>
      <c r="BJ92" s="156"/>
    </row>
    <row r="93" spans="1:62" ht="15" customHeight="1" x14ac:dyDescent="0.35">
      <c r="A93" s="11" t="s">
        <v>94</v>
      </c>
      <c r="B93" s="151" t="s">
        <v>955</v>
      </c>
      <c r="C93" s="34" t="s">
        <v>331</v>
      </c>
      <c r="D93" s="35" t="s">
        <v>335</v>
      </c>
      <c r="E93" s="106" t="s">
        <v>336</v>
      </c>
      <c r="F93" s="37" t="s">
        <v>782</v>
      </c>
      <c r="G93" s="79">
        <v>33003</v>
      </c>
      <c r="H93" s="37">
        <f>2026-1990</f>
        <v>36</v>
      </c>
      <c r="I93" s="38" t="s">
        <v>399</v>
      </c>
      <c r="J93" s="38" t="s">
        <v>44</v>
      </c>
      <c r="K93" s="35" t="s">
        <v>45</v>
      </c>
      <c r="L93" s="38" t="s">
        <v>46</v>
      </c>
      <c r="M93" s="38" t="s">
        <v>46</v>
      </c>
      <c r="N93" s="35" t="s">
        <v>597</v>
      </c>
      <c r="O93" s="38" t="s">
        <v>47</v>
      </c>
      <c r="P93" s="75" t="s">
        <v>804</v>
      </c>
      <c r="Q93" s="38" t="s">
        <v>638</v>
      </c>
      <c r="R93" s="38" t="s">
        <v>397</v>
      </c>
      <c r="S93" s="74">
        <v>45894</v>
      </c>
      <c r="T93" s="74">
        <v>46259</v>
      </c>
      <c r="U93" s="38">
        <v>12</v>
      </c>
      <c r="V93" s="76" t="s">
        <v>630</v>
      </c>
      <c r="W93" s="80"/>
      <c r="X93" s="80"/>
      <c r="Y93" s="80"/>
      <c r="Z93" s="80"/>
      <c r="AA93" s="81"/>
      <c r="AB93" s="38"/>
      <c r="AC93" s="38" t="s">
        <v>805</v>
      </c>
      <c r="AD93" s="38" t="s">
        <v>507</v>
      </c>
      <c r="AE93" s="45">
        <v>40</v>
      </c>
      <c r="AF93" s="38"/>
      <c r="AG93" s="38"/>
      <c r="AH93" s="38"/>
      <c r="AI93" s="80"/>
      <c r="AJ93" s="34"/>
      <c r="AK93" s="35"/>
      <c r="AL93" s="35"/>
      <c r="AM93" s="82"/>
      <c r="AN93" s="35" t="s">
        <v>245</v>
      </c>
      <c r="AO93" s="35" t="s">
        <v>49</v>
      </c>
      <c r="AP93" s="35" t="s">
        <v>416</v>
      </c>
      <c r="AQ93" s="82" t="s">
        <v>474</v>
      </c>
      <c r="AR93" s="35"/>
      <c r="AS93" s="35"/>
      <c r="AT93" s="35"/>
      <c r="AU93" s="82"/>
      <c r="AV93" s="77">
        <v>48.4</v>
      </c>
      <c r="AW93" s="79">
        <v>46266</v>
      </c>
      <c r="AX93" s="79">
        <v>46266</v>
      </c>
      <c r="AY93" s="79">
        <v>46266</v>
      </c>
      <c r="AZ93" s="35"/>
      <c r="BA93" s="38" t="s">
        <v>51</v>
      </c>
      <c r="BB93" s="38" t="s">
        <v>52</v>
      </c>
      <c r="BC93" s="38" t="s">
        <v>398</v>
      </c>
      <c r="BD93" s="38" t="s">
        <v>397</v>
      </c>
      <c r="BE93" s="44">
        <v>0.75</v>
      </c>
      <c r="BF93" s="45" t="str">
        <f t="shared" si="3"/>
        <v>1400968721</v>
      </c>
      <c r="BG93" s="37" t="str">
        <f t="shared" si="3"/>
        <v>EXCCL-8656377</v>
      </c>
      <c r="BH93" s="37"/>
      <c r="BI93" s="102"/>
      <c r="BJ93" s="156"/>
    </row>
    <row r="94" spans="1:62" ht="15" customHeight="1" x14ac:dyDescent="0.35">
      <c r="A94" s="11" t="s">
        <v>226</v>
      </c>
      <c r="B94" s="152" t="s">
        <v>958</v>
      </c>
      <c r="C94" s="21" t="s">
        <v>334</v>
      </c>
      <c r="D94" s="12" t="s">
        <v>338</v>
      </c>
      <c r="E94" s="18">
        <v>1400831515</v>
      </c>
      <c r="F94" s="11" t="s">
        <v>833</v>
      </c>
      <c r="G94" s="13">
        <v>34853</v>
      </c>
      <c r="H94" s="11">
        <f>2026-1995</f>
        <v>31</v>
      </c>
      <c r="I94" s="2" t="s">
        <v>399</v>
      </c>
      <c r="J94" s="2" t="s">
        <v>44</v>
      </c>
      <c r="K94" s="12" t="s">
        <v>45</v>
      </c>
      <c r="L94" s="2" t="s">
        <v>46</v>
      </c>
      <c r="M94" s="2" t="s">
        <v>46</v>
      </c>
      <c r="N94" s="12" t="s">
        <v>598</v>
      </c>
      <c r="O94" s="2" t="s">
        <v>47</v>
      </c>
      <c r="P94" s="46" t="s">
        <v>806</v>
      </c>
      <c r="Q94" s="2" t="s">
        <v>638</v>
      </c>
      <c r="R94" s="2" t="s">
        <v>397</v>
      </c>
      <c r="S94" s="5">
        <v>45894</v>
      </c>
      <c r="T94" s="5">
        <v>46259</v>
      </c>
      <c r="U94" s="2">
        <v>12</v>
      </c>
      <c r="V94" s="40" t="s">
        <v>632</v>
      </c>
      <c r="AA94" s="41"/>
      <c r="AB94" s="2"/>
      <c r="AC94" s="2" t="s">
        <v>805</v>
      </c>
      <c r="AD94" s="2" t="s">
        <v>507</v>
      </c>
      <c r="AE94" s="4">
        <v>40</v>
      </c>
      <c r="AJ94" s="21" t="s">
        <v>81</v>
      </c>
      <c r="AK94" s="2" t="s">
        <v>49</v>
      </c>
      <c r="AL94" s="12" t="s">
        <v>46</v>
      </c>
      <c r="AM94" s="42" t="s">
        <v>438</v>
      </c>
      <c r="AN94" s="12" t="s">
        <v>245</v>
      </c>
      <c r="AO94" s="12" t="s">
        <v>49</v>
      </c>
      <c r="AP94" s="12" t="s">
        <v>416</v>
      </c>
      <c r="AQ94" s="42" t="s">
        <v>475</v>
      </c>
      <c r="AR94" s="12" t="s">
        <v>476</v>
      </c>
      <c r="AS94" s="12" t="s">
        <v>49</v>
      </c>
      <c r="AT94" s="12" t="s">
        <v>419</v>
      </c>
      <c r="AU94" s="42" t="s">
        <v>477</v>
      </c>
      <c r="AV94" s="7">
        <v>48.4</v>
      </c>
      <c r="AW94" s="13">
        <v>46267</v>
      </c>
      <c r="AX94" s="13">
        <v>46267</v>
      </c>
      <c r="AY94" s="13">
        <v>46267</v>
      </c>
      <c r="AZ94" s="12"/>
      <c r="BA94" s="2" t="s">
        <v>51</v>
      </c>
      <c r="BB94" s="2" t="s">
        <v>52</v>
      </c>
      <c r="BC94" s="2" t="s">
        <v>398</v>
      </c>
      <c r="BD94" s="2" t="s">
        <v>397</v>
      </c>
      <c r="BE94" s="43">
        <v>0.5</v>
      </c>
      <c r="BF94" s="4">
        <f t="shared" si="3"/>
        <v>1400831515</v>
      </c>
      <c r="BG94" s="11" t="str">
        <f t="shared" si="3"/>
        <v>EXCCL-3254425</v>
      </c>
      <c r="BH94" s="11"/>
      <c r="BI94" s="33"/>
      <c r="BJ94" s="156"/>
    </row>
    <row r="95" spans="1:62" ht="15" customHeight="1" x14ac:dyDescent="0.35">
      <c r="A95" s="11"/>
      <c r="B95" s="152" t="s">
        <v>959</v>
      </c>
      <c r="C95" s="21" t="s">
        <v>337</v>
      </c>
      <c r="D95" s="12" t="s">
        <v>340</v>
      </c>
      <c r="E95" s="16" t="s">
        <v>341</v>
      </c>
      <c r="F95" s="11" t="s">
        <v>834</v>
      </c>
      <c r="G95" s="13">
        <v>36150</v>
      </c>
      <c r="H95" s="11">
        <f>2026-1998</f>
        <v>28</v>
      </c>
      <c r="I95" s="2" t="s">
        <v>399</v>
      </c>
      <c r="J95" s="2" t="s">
        <v>44</v>
      </c>
      <c r="K95" s="12" t="s">
        <v>45</v>
      </c>
      <c r="L95" s="2" t="s">
        <v>46</v>
      </c>
      <c r="M95" s="2" t="s">
        <v>46</v>
      </c>
      <c r="N95" s="12" t="s">
        <v>551</v>
      </c>
      <c r="O95" s="2" t="s">
        <v>47</v>
      </c>
      <c r="P95" s="46" t="s">
        <v>807</v>
      </c>
      <c r="Q95" s="2" t="s">
        <v>638</v>
      </c>
      <c r="R95" s="2" t="s">
        <v>397</v>
      </c>
      <c r="S95" s="5">
        <v>45894</v>
      </c>
      <c r="T95" s="5">
        <v>46259</v>
      </c>
      <c r="U95" s="2">
        <v>12</v>
      </c>
      <c r="V95" s="40" t="s">
        <v>629</v>
      </c>
      <c r="AA95" s="41"/>
      <c r="AB95" s="2"/>
      <c r="AC95" s="2" t="s">
        <v>805</v>
      </c>
      <c r="AD95" s="2" t="s">
        <v>507</v>
      </c>
      <c r="AE95" s="4">
        <v>40</v>
      </c>
      <c r="AJ95" s="21" t="s">
        <v>439</v>
      </c>
      <c r="AK95" s="2" t="s">
        <v>49</v>
      </c>
      <c r="AL95" s="12" t="s">
        <v>46</v>
      </c>
      <c r="AM95" s="42" t="s">
        <v>78</v>
      </c>
      <c r="AN95" s="12"/>
      <c r="AO95" s="12"/>
      <c r="AP95" s="12"/>
      <c r="AQ95" s="42"/>
      <c r="AR95" s="12"/>
      <c r="AS95" s="12"/>
      <c r="AT95" s="12"/>
      <c r="AU95" s="42"/>
      <c r="AV95" s="7">
        <v>48.4</v>
      </c>
      <c r="AW95" s="13">
        <v>46267</v>
      </c>
      <c r="AX95" s="13">
        <v>46267</v>
      </c>
      <c r="AY95" s="13">
        <v>46267</v>
      </c>
      <c r="AZ95" s="12"/>
      <c r="BA95" s="2" t="s">
        <v>51</v>
      </c>
      <c r="BB95" s="2" t="s">
        <v>52</v>
      </c>
      <c r="BC95" s="2" t="s">
        <v>398</v>
      </c>
      <c r="BD95" s="2" t="s">
        <v>397</v>
      </c>
      <c r="BE95" s="43">
        <v>0.5</v>
      </c>
      <c r="BF95" s="4" t="str">
        <f t="shared" si="3"/>
        <v>1400891352</v>
      </c>
      <c r="BG95" s="11" t="str">
        <f t="shared" si="3"/>
        <v>EXCCL-9025341</v>
      </c>
      <c r="BH95" s="11"/>
      <c r="BI95" s="33"/>
      <c r="BJ95" s="156"/>
    </row>
    <row r="96" spans="1:62" ht="15" customHeight="1" x14ac:dyDescent="0.35">
      <c r="A96" s="11" t="s">
        <v>94</v>
      </c>
      <c r="B96" s="152" t="s">
        <v>960</v>
      </c>
      <c r="C96" s="21" t="s">
        <v>339</v>
      </c>
      <c r="D96" s="12" t="s">
        <v>343</v>
      </c>
      <c r="E96" s="16" t="s">
        <v>344</v>
      </c>
      <c r="F96" s="11" t="s">
        <v>835</v>
      </c>
      <c r="G96" s="13">
        <v>31778</v>
      </c>
      <c r="H96" s="11">
        <f>2026-1987</f>
        <v>39</v>
      </c>
      <c r="I96" s="2" t="s">
        <v>399</v>
      </c>
      <c r="J96" s="2" t="s">
        <v>44</v>
      </c>
      <c r="K96" s="12" t="s">
        <v>45</v>
      </c>
      <c r="L96" s="2" t="s">
        <v>46</v>
      </c>
      <c r="M96" s="2" t="s">
        <v>46</v>
      </c>
      <c r="N96" s="12" t="s">
        <v>599</v>
      </c>
      <c r="O96" s="2" t="s">
        <v>47</v>
      </c>
      <c r="P96" s="46" t="s">
        <v>808</v>
      </c>
      <c r="Q96" s="2" t="s">
        <v>638</v>
      </c>
      <c r="R96" s="2" t="s">
        <v>397</v>
      </c>
      <c r="S96" s="5">
        <v>45894</v>
      </c>
      <c r="T96" s="5">
        <v>46259</v>
      </c>
      <c r="U96" s="2">
        <v>12</v>
      </c>
      <c r="V96" s="40" t="s">
        <v>630</v>
      </c>
      <c r="AA96" s="41"/>
      <c r="AB96" s="2"/>
      <c r="AC96" s="2" t="s">
        <v>805</v>
      </c>
      <c r="AD96" s="2" t="s">
        <v>507</v>
      </c>
      <c r="AE96" s="4">
        <v>40</v>
      </c>
      <c r="AF96" s="2"/>
      <c r="AG96" s="2"/>
      <c r="AH96" s="2"/>
      <c r="AJ96" s="21"/>
      <c r="AK96" s="12"/>
      <c r="AL96" s="12"/>
      <c r="AM96" s="42"/>
      <c r="AN96" s="12" t="s">
        <v>224</v>
      </c>
      <c r="AO96" s="12" t="s">
        <v>49</v>
      </c>
      <c r="AP96" s="12" t="s">
        <v>419</v>
      </c>
      <c r="AQ96" s="42" t="s">
        <v>478</v>
      </c>
      <c r="AR96" s="12"/>
      <c r="AS96" s="12"/>
      <c r="AT96" s="12"/>
      <c r="AU96" s="42"/>
      <c r="AV96" s="7">
        <v>48.4</v>
      </c>
      <c r="AW96" s="13">
        <v>46267</v>
      </c>
      <c r="AX96" s="13">
        <v>46267</v>
      </c>
      <c r="AY96" s="13">
        <v>46267</v>
      </c>
      <c r="AZ96" s="12"/>
      <c r="BA96" s="2" t="s">
        <v>51</v>
      </c>
      <c r="BB96" s="2" t="s">
        <v>52</v>
      </c>
      <c r="BC96" s="2" t="s">
        <v>398</v>
      </c>
      <c r="BD96" s="2" t="s">
        <v>397</v>
      </c>
      <c r="BE96" s="43">
        <v>0.5</v>
      </c>
      <c r="BF96" s="4" t="str">
        <f t="shared" si="3"/>
        <v>1400615439</v>
      </c>
      <c r="BG96" s="11" t="str">
        <f t="shared" si="3"/>
        <v>EXCCL-7490146</v>
      </c>
      <c r="BH96" s="11"/>
      <c r="BI96" s="33"/>
      <c r="BJ96" s="156"/>
    </row>
    <row r="97" spans="1:62" ht="15" customHeight="1" x14ac:dyDescent="0.35">
      <c r="A97" s="11" t="s">
        <v>226</v>
      </c>
      <c r="B97" s="152" t="s">
        <v>961</v>
      </c>
      <c r="C97" s="21" t="s">
        <v>342</v>
      </c>
      <c r="D97" s="12" t="s">
        <v>346</v>
      </c>
      <c r="E97" s="16">
        <v>1401301955</v>
      </c>
      <c r="F97" s="11" t="s">
        <v>836</v>
      </c>
      <c r="G97" s="13">
        <v>34146</v>
      </c>
      <c r="H97" s="11">
        <f>2026-1993</f>
        <v>33</v>
      </c>
      <c r="I97" s="2" t="s">
        <v>399</v>
      </c>
      <c r="J97" s="2" t="s">
        <v>44</v>
      </c>
      <c r="K97" s="12" t="s">
        <v>45</v>
      </c>
      <c r="L97" s="2" t="s">
        <v>46</v>
      </c>
      <c r="M97" s="2" t="s">
        <v>46</v>
      </c>
      <c r="N97" s="12" t="s">
        <v>600</v>
      </c>
      <c r="O97" s="2" t="s">
        <v>47</v>
      </c>
      <c r="P97" s="46" t="s">
        <v>809</v>
      </c>
      <c r="Q97" s="2" t="s">
        <v>638</v>
      </c>
      <c r="R97" s="2" t="s">
        <v>397</v>
      </c>
      <c r="S97" s="5">
        <v>45894</v>
      </c>
      <c r="T97" s="5">
        <v>46259</v>
      </c>
      <c r="U97" s="2">
        <v>12</v>
      </c>
      <c r="V97" s="40" t="s">
        <v>632</v>
      </c>
      <c r="AA97" s="41"/>
      <c r="AB97" s="2"/>
      <c r="AC97" s="2" t="s">
        <v>805</v>
      </c>
      <c r="AD97" s="2" t="s">
        <v>507</v>
      </c>
      <c r="AE97" s="4">
        <v>40</v>
      </c>
      <c r="AJ97" s="21" t="s">
        <v>110</v>
      </c>
      <c r="AK97" s="2" t="s">
        <v>49</v>
      </c>
      <c r="AL97" s="12" t="s">
        <v>404</v>
      </c>
      <c r="AM97" s="42" t="s">
        <v>78</v>
      </c>
      <c r="AN97" s="12" t="s">
        <v>479</v>
      </c>
      <c r="AO97" s="12" t="s">
        <v>49</v>
      </c>
      <c r="AP97" s="12" t="s">
        <v>419</v>
      </c>
      <c r="AQ97" s="42" t="s">
        <v>480</v>
      </c>
      <c r="AR97" s="12" t="s">
        <v>243</v>
      </c>
      <c r="AS97" s="12" t="s">
        <v>49</v>
      </c>
      <c r="AT97" s="12" t="s">
        <v>423</v>
      </c>
      <c r="AU97" s="42" t="s">
        <v>481</v>
      </c>
      <c r="AV97" s="7">
        <v>48.4</v>
      </c>
      <c r="AW97" s="13">
        <v>46267</v>
      </c>
      <c r="AX97" s="13">
        <v>46267</v>
      </c>
      <c r="AY97" s="13">
        <v>46267</v>
      </c>
      <c r="AZ97" s="12"/>
      <c r="BA97" s="2" t="s">
        <v>51</v>
      </c>
      <c r="BB97" s="2" t="s">
        <v>52</v>
      </c>
      <c r="BC97" s="2" t="s">
        <v>398</v>
      </c>
      <c r="BD97" s="2" t="s">
        <v>397</v>
      </c>
      <c r="BE97" s="43">
        <v>0.5</v>
      </c>
      <c r="BF97" s="4">
        <f t="shared" si="3"/>
        <v>1401301955</v>
      </c>
      <c r="BG97" s="11" t="str">
        <f t="shared" si="3"/>
        <v>EXCCL-4940741</v>
      </c>
      <c r="BH97" s="11"/>
      <c r="BI97" s="33"/>
      <c r="BJ97" s="156"/>
    </row>
    <row r="98" spans="1:62" ht="15" customHeight="1" x14ac:dyDescent="0.35">
      <c r="A98" s="11" t="s">
        <v>94</v>
      </c>
      <c r="B98" s="152" t="s">
        <v>962</v>
      </c>
      <c r="C98" s="21" t="s">
        <v>345</v>
      </c>
      <c r="D98" s="12" t="s">
        <v>348</v>
      </c>
      <c r="E98" s="16">
        <v>1400357982</v>
      </c>
      <c r="F98" s="11" t="s">
        <v>837</v>
      </c>
      <c r="G98" s="13">
        <v>26413</v>
      </c>
      <c r="H98" s="11">
        <f>2026-1972</f>
        <v>54</v>
      </c>
      <c r="I98" s="2" t="s">
        <v>399</v>
      </c>
      <c r="J98" s="2" t="s">
        <v>44</v>
      </c>
      <c r="K98" s="12" t="s">
        <v>45</v>
      </c>
      <c r="L98" s="2" t="s">
        <v>46</v>
      </c>
      <c r="M98" s="2" t="s">
        <v>46</v>
      </c>
      <c r="N98" s="12" t="s">
        <v>601</v>
      </c>
      <c r="O98" s="2" t="s">
        <v>47</v>
      </c>
      <c r="P98" s="46" t="s">
        <v>810</v>
      </c>
      <c r="Q98" s="2" t="s">
        <v>638</v>
      </c>
      <c r="R98" s="2" t="s">
        <v>397</v>
      </c>
      <c r="S98" s="5">
        <v>45894</v>
      </c>
      <c r="T98" s="5">
        <v>46259</v>
      </c>
      <c r="U98" s="2">
        <v>12</v>
      </c>
      <c r="V98" s="40" t="s">
        <v>630</v>
      </c>
      <c r="AA98" s="41"/>
      <c r="AB98" s="2"/>
      <c r="AC98" s="2" t="s">
        <v>805</v>
      </c>
      <c r="AD98" s="2" t="s">
        <v>507</v>
      </c>
      <c r="AE98" s="4">
        <v>40</v>
      </c>
      <c r="AJ98" s="21" t="s">
        <v>90</v>
      </c>
      <c r="AK98" s="2" t="s">
        <v>49</v>
      </c>
      <c r="AL98" s="12" t="s">
        <v>46</v>
      </c>
      <c r="AM98" s="42" t="s">
        <v>78</v>
      </c>
      <c r="AN98" s="12" t="s">
        <v>245</v>
      </c>
      <c r="AO98" s="12" t="s">
        <v>49</v>
      </c>
      <c r="AP98" s="12" t="s">
        <v>416</v>
      </c>
      <c r="AQ98" s="42" t="s">
        <v>482</v>
      </c>
      <c r="AR98" s="12"/>
      <c r="AS98" s="12"/>
      <c r="AT98" s="12"/>
      <c r="AU98" s="42"/>
      <c r="AV98" s="7">
        <v>48.4</v>
      </c>
      <c r="AW98" s="13">
        <v>46267</v>
      </c>
      <c r="AX98" s="13">
        <v>46267</v>
      </c>
      <c r="AY98" s="13">
        <v>46267</v>
      </c>
      <c r="AZ98" s="12"/>
      <c r="BA98" s="2" t="s">
        <v>51</v>
      </c>
      <c r="BB98" s="2" t="s">
        <v>52</v>
      </c>
      <c r="BC98" s="2" t="s">
        <v>398</v>
      </c>
      <c r="BD98" s="2" t="s">
        <v>397</v>
      </c>
      <c r="BE98" s="43">
        <v>0.5</v>
      </c>
      <c r="BF98" s="4">
        <f t="shared" si="3"/>
        <v>1400357982</v>
      </c>
      <c r="BG98" s="11" t="str">
        <f t="shared" si="3"/>
        <v>EXCCL-845169</v>
      </c>
      <c r="BH98" s="11"/>
      <c r="BI98" s="33"/>
      <c r="BJ98" s="156"/>
    </row>
    <row r="99" spans="1:62" ht="15" customHeight="1" x14ac:dyDescent="0.35">
      <c r="A99" s="11"/>
      <c r="B99" s="152" t="s">
        <v>963</v>
      </c>
      <c r="C99" s="21" t="s">
        <v>347</v>
      </c>
      <c r="D99" s="12" t="s">
        <v>350</v>
      </c>
      <c r="E99" s="17" t="s">
        <v>351</v>
      </c>
      <c r="F99" s="11" t="s">
        <v>838</v>
      </c>
      <c r="G99" s="13">
        <v>36323</v>
      </c>
      <c r="H99" s="11">
        <f>2026-1999</f>
        <v>27</v>
      </c>
      <c r="I99" s="2" t="s">
        <v>399</v>
      </c>
      <c r="J99" s="2" t="s">
        <v>44</v>
      </c>
      <c r="K99" s="12" t="s">
        <v>45</v>
      </c>
      <c r="L99" s="2" t="s">
        <v>46</v>
      </c>
      <c r="M99" s="2" t="s">
        <v>46</v>
      </c>
      <c r="N99" s="12" t="s">
        <v>602</v>
      </c>
      <c r="O99" s="2" t="s">
        <v>47</v>
      </c>
      <c r="P99" s="46" t="s">
        <v>811</v>
      </c>
      <c r="Q99" s="2" t="s">
        <v>638</v>
      </c>
      <c r="R99" s="2" t="s">
        <v>397</v>
      </c>
      <c r="S99" s="5">
        <v>45894</v>
      </c>
      <c r="T99" s="5">
        <v>46259</v>
      </c>
      <c r="U99" s="2">
        <v>12</v>
      </c>
      <c r="V99" s="40" t="s">
        <v>629</v>
      </c>
      <c r="AA99" s="41"/>
      <c r="AB99" s="2"/>
      <c r="AC99" s="2" t="s">
        <v>805</v>
      </c>
      <c r="AD99" s="2" t="s">
        <v>507</v>
      </c>
      <c r="AE99" s="4">
        <v>40</v>
      </c>
      <c r="AJ99" s="21" t="s">
        <v>441</v>
      </c>
      <c r="AK99" s="2" t="s">
        <v>49</v>
      </c>
      <c r="AL99" s="12" t="s">
        <v>46</v>
      </c>
      <c r="AM99" s="42" t="s">
        <v>78</v>
      </c>
      <c r="AN99" s="12"/>
      <c r="AO99" s="12"/>
      <c r="AP99" s="12"/>
      <c r="AQ99" s="42"/>
      <c r="AR99" s="12"/>
      <c r="AS99" s="12"/>
      <c r="AT99" s="12"/>
      <c r="AU99" s="42"/>
      <c r="AV99" s="7">
        <v>48.4</v>
      </c>
      <c r="AW99" s="13">
        <v>46267</v>
      </c>
      <c r="AX99" s="13">
        <v>46267</v>
      </c>
      <c r="AY99" s="13">
        <v>46267</v>
      </c>
      <c r="AZ99" s="12"/>
      <c r="BA99" s="2" t="s">
        <v>51</v>
      </c>
      <c r="BB99" s="2" t="s">
        <v>52</v>
      </c>
      <c r="BC99" s="2" t="s">
        <v>398</v>
      </c>
      <c r="BD99" s="2" t="s">
        <v>397</v>
      </c>
      <c r="BE99" s="43">
        <v>0.5</v>
      </c>
      <c r="BF99" s="4" t="str">
        <f t="shared" si="3"/>
        <v>0107138786</v>
      </c>
      <c r="BG99" s="11" t="str">
        <f t="shared" si="3"/>
        <v>EXCCL-6909603</v>
      </c>
      <c r="BH99" s="11"/>
      <c r="BI99" s="33"/>
      <c r="BJ99" s="156"/>
    </row>
    <row r="100" spans="1:62" ht="15" customHeight="1" x14ac:dyDescent="0.35">
      <c r="A100" s="11"/>
      <c r="B100" s="152" t="s">
        <v>964</v>
      </c>
      <c r="C100" s="21" t="s">
        <v>349</v>
      </c>
      <c r="D100" s="12" t="s">
        <v>353</v>
      </c>
      <c r="E100" s="17" t="s">
        <v>354</v>
      </c>
      <c r="F100" s="11" t="s">
        <v>839</v>
      </c>
      <c r="G100" s="13">
        <v>32952</v>
      </c>
      <c r="H100" s="11">
        <f>2026-1990</f>
        <v>36</v>
      </c>
      <c r="I100" s="2" t="s">
        <v>399</v>
      </c>
      <c r="J100" s="2" t="s">
        <v>44</v>
      </c>
      <c r="K100" s="12" t="s">
        <v>45</v>
      </c>
      <c r="L100" s="2" t="s">
        <v>46</v>
      </c>
      <c r="M100" s="2" t="s">
        <v>46</v>
      </c>
      <c r="N100" s="12" t="s">
        <v>603</v>
      </c>
      <c r="O100" s="2" t="s">
        <v>47</v>
      </c>
      <c r="P100" s="46" t="s">
        <v>812</v>
      </c>
      <c r="Q100" s="2" t="s">
        <v>638</v>
      </c>
      <c r="R100" s="2" t="s">
        <v>397</v>
      </c>
      <c r="S100" s="5">
        <v>45894</v>
      </c>
      <c r="T100" s="5">
        <v>46259</v>
      </c>
      <c r="U100" s="2">
        <v>12</v>
      </c>
      <c r="V100" s="40" t="s">
        <v>629</v>
      </c>
      <c r="AA100" s="41"/>
      <c r="AB100" s="2"/>
      <c r="AC100" s="2" t="s">
        <v>805</v>
      </c>
      <c r="AD100" s="2" t="s">
        <v>507</v>
      </c>
      <c r="AE100" s="4">
        <v>40</v>
      </c>
      <c r="AJ100" s="21" t="s">
        <v>440</v>
      </c>
      <c r="AK100" s="2" t="s">
        <v>49</v>
      </c>
      <c r="AL100" s="12" t="s">
        <v>498</v>
      </c>
      <c r="AM100" s="42" t="s">
        <v>442</v>
      </c>
      <c r="AN100" s="12"/>
      <c r="AO100" s="12"/>
      <c r="AP100" s="12"/>
      <c r="AQ100" s="42"/>
      <c r="AR100" s="12"/>
      <c r="AS100" s="12"/>
      <c r="AT100" s="12"/>
      <c r="AU100" s="42"/>
      <c r="AV100" s="7">
        <v>48.4</v>
      </c>
      <c r="AW100" s="13">
        <v>46267</v>
      </c>
      <c r="AX100" s="13">
        <v>46267</v>
      </c>
      <c r="AY100" s="13">
        <v>46267</v>
      </c>
      <c r="AZ100" s="12"/>
      <c r="BA100" s="2" t="s">
        <v>51</v>
      </c>
      <c r="BB100" s="2" t="s">
        <v>52</v>
      </c>
      <c r="BC100" s="2" t="s">
        <v>398</v>
      </c>
      <c r="BD100" s="2" t="s">
        <v>397</v>
      </c>
      <c r="BE100" s="43">
        <v>0.5</v>
      </c>
      <c r="BF100" s="4" t="str">
        <f t="shared" si="3"/>
        <v>1400962971</v>
      </c>
      <c r="BG100" s="11" t="str">
        <f t="shared" si="3"/>
        <v>EXCCL-7512951</v>
      </c>
      <c r="BH100" s="11"/>
      <c r="BI100" s="33"/>
      <c r="BJ100" s="156"/>
    </row>
    <row r="101" spans="1:62" ht="15" customHeight="1" x14ac:dyDescent="0.35">
      <c r="A101" s="11"/>
      <c r="B101" s="152" t="s">
        <v>965</v>
      </c>
      <c r="C101" s="21" t="s">
        <v>352</v>
      </c>
      <c r="D101" s="12" t="s">
        <v>356</v>
      </c>
      <c r="E101" s="16">
        <v>1400194450</v>
      </c>
      <c r="F101" s="11" t="s">
        <v>840</v>
      </c>
      <c r="G101" s="13">
        <v>25267</v>
      </c>
      <c r="H101" s="11">
        <f>2026-1969</f>
        <v>57</v>
      </c>
      <c r="I101" s="2" t="s">
        <v>399</v>
      </c>
      <c r="J101" s="2" t="s">
        <v>44</v>
      </c>
      <c r="K101" s="12" t="s">
        <v>45</v>
      </c>
      <c r="L101" s="2" t="s">
        <v>46</v>
      </c>
      <c r="M101" s="2" t="s">
        <v>46</v>
      </c>
      <c r="N101" s="12" t="s">
        <v>604</v>
      </c>
      <c r="O101" s="2" t="s">
        <v>47</v>
      </c>
      <c r="P101" s="46" t="s">
        <v>813</v>
      </c>
      <c r="Q101" s="2" t="s">
        <v>638</v>
      </c>
      <c r="R101" s="2" t="s">
        <v>397</v>
      </c>
      <c r="S101" s="5">
        <v>45894</v>
      </c>
      <c r="T101" s="5">
        <v>46259</v>
      </c>
      <c r="U101" s="2">
        <v>12</v>
      </c>
      <c r="V101" s="40" t="s">
        <v>629</v>
      </c>
      <c r="AA101" s="41"/>
      <c r="AB101" s="2"/>
      <c r="AC101" s="2" t="s">
        <v>805</v>
      </c>
      <c r="AD101" s="2" t="s">
        <v>507</v>
      </c>
      <c r="AE101" s="4">
        <v>40</v>
      </c>
      <c r="AJ101" s="21" t="s">
        <v>81</v>
      </c>
      <c r="AK101" s="2" t="s">
        <v>49</v>
      </c>
      <c r="AL101" s="12" t="s">
        <v>46</v>
      </c>
      <c r="AM101" s="42" t="s">
        <v>434</v>
      </c>
      <c r="AN101" s="12"/>
      <c r="AO101" s="12"/>
      <c r="AP101" s="12"/>
      <c r="AQ101" s="42"/>
      <c r="AR101" s="12"/>
      <c r="AS101" s="12"/>
      <c r="AT101" s="12"/>
      <c r="AU101" s="42"/>
      <c r="AV101" s="7">
        <v>48.4</v>
      </c>
      <c r="AW101" s="13">
        <v>46267</v>
      </c>
      <c r="AX101" s="13">
        <v>46267</v>
      </c>
      <c r="AY101" s="13">
        <v>46267</v>
      </c>
      <c r="AZ101" s="12"/>
      <c r="BA101" s="2" t="s">
        <v>51</v>
      </c>
      <c r="BB101" s="2" t="s">
        <v>52</v>
      </c>
      <c r="BC101" s="2" t="s">
        <v>398</v>
      </c>
      <c r="BD101" s="2" t="s">
        <v>397</v>
      </c>
      <c r="BE101" s="43">
        <v>0.5</v>
      </c>
      <c r="BF101" s="4">
        <f t="shared" si="3"/>
        <v>1400194450</v>
      </c>
      <c r="BG101" s="11" t="str">
        <f t="shared" si="3"/>
        <v>EXCCL-945530</v>
      </c>
      <c r="BH101" s="11"/>
      <c r="BI101" s="33"/>
      <c r="BJ101" s="156"/>
    </row>
    <row r="102" spans="1:62" ht="15" customHeight="1" x14ac:dyDescent="0.35">
      <c r="A102" s="11"/>
      <c r="B102" s="152" t="s">
        <v>966</v>
      </c>
      <c r="C102" s="21" t="s">
        <v>355</v>
      </c>
      <c r="D102" s="12" t="s">
        <v>358</v>
      </c>
      <c r="E102" s="17">
        <v>1400503593</v>
      </c>
      <c r="F102" s="11" t="s">
        <v>841</v>
      </c>
      <c r="G102" s="13">
        <v>28490</v>
      </c>
      <c r="H102" s="11">
        <f>2026-1977</f>
        <v>49</v>
      </c>
      <c r="I102" s="2" t="s">
        <v>399</v>
      </c>
      <c r="J102" s="2" t="s">
        <v>44</v>
      </c>
      <c r="K102" s="12" t="s">
        <v>45</v>
      </c>
      <c r="L102" s="2" t="s">
        <v>46</v>
      </c>
      <c r="M102" s="2" t="s">
        <v>46</v>
      </c>
      <c r="N102" s="12" t="s">
        <v>605</v>
      </c>
      <c r="O102" s="2" t="s">
        <v>47</v>
      </c>
      <c r="P102" s="46" t="s">
        <v>814</v>
      </c>
      <c r="Q102" s="2" t="s">
        <v>638</v>
      </c>
      <c r="R102" s="2" t="s">
        <v>397</v>
      </c>
      <c r="S102" s="5">
        <v>45894</v>
      </c>
      <c r="T102" s="5">
        <v>46259</v>
      </c>
      <c r="U102" s="2">
        <v>12</v>
      </c>
      <c r="V102" s="40" t="s">
        <v>629</v>
      </c>
      <c r="AA102" s="41"/>
      <c r="AB102" s="2"/>
      <c r="AC102" s="2" t="s">
        <v>805</v>
      </c>
      <c r="AD102" s="2" t="s">
        <v>507</v>
      </c>
      <c r="AE102" s="4">
        <v>40</v>
      </c>
      <c r="AJ102" s="21" t="s">
        <v>194</v>
      </c>
      <c r="AK102" s="2" t="s">
        <v>49</v>
      </c>
      <c r="AL102" s="12" t="s">
        <v>46</v>
      </c>
      <c r="AM102" s="42" t="s">
        <v>78</v>
      </c>
      <c r="AN102" s="12"/>
      <c r="AO102" s="12"/>
      <c r="AP102" s="12"/>
      <c r="AQ102" s="42"/>
      <c r="AR102" s="12"/>
      <c r="AS102" s="12"/>
      <c r="AT102" s="12"/>
      <c r="AU102" s="42"/>
      <c r="AV102" s="7">
        <v>48.4</v>
      </c>
      <c r="AW102" s="13">
        <v>46267</v>
      </c>
      <c r="AX102" s="13">
        <v>46267</v>
      </c>
      <c r="AY102" s="13">
        <v>46267</v>
      </c>
      <c r="AZ102" s="12"/>
      <c r="BA102" s="2" t="s">
        <v>51</v>
      </c>
      <c r="BB102" s="2" t="s">
        <v>52</v>
      </c>
      <c r="BC102" s="2" t="s">
        <v>398</v>
      </c>
      <c r="BD102" s="2" t="s">
        <v>397</v>
      </c>
      <c r="BE102" s="43">
        <v>0.5</v>
      </c>
      <c r="BF102" s="4">
        <f t="shared" si="3"/>
        <v>1400503593</v>
      </c>
      <c r="BG102" s="11" t="str">
        <f t="shared" si="3"/>
        <v>EXCCL-1556960</v>
      </c>
      <c r="BH102" s="11"/>
      <c r="BI102" s="33"/>
      <c r="BJ102" s="156"/>
    </row>
    <row r="103" spans="1:62" ht="15" customHeight="1" x14ac:dyDescent="0.35">
      <c r="A103" s="11" t="s">
        <v>94</v>
      </c>
      <c r="B103" s="152" t="s">
        <v>967</v>
      </c>
      <c r="C103" s="21" t="s">
        <v>357</v>
      </c>
      <c r="D103" s="12" t="s">
        <v>360</v>
      </c>
      <c r="E103" s="16">
        <v>1202866727</v>
      </c>
      <c r="F103" s="11" t="s">
        <v>842</v>
      </c>
      <c r="G103" s="13">
        <v>25633</v>
      </c>
      <c r="H103" s="11">
        <f>2026-1970</f>
        <v>56</v>
      </c>
      <c r="I103" s="2" t="s">
        <v>399</v>
      </c>
      <c r="J103" s="2" t="s">
        <v>44</v>
      </c>
      <c r="K103" s="12" t="s">
        <v>45</v>
      </c>
      <c r="L103" s="2" t="s">
        <v>46</v>
      </c>
      <c r="M103" s="2" t="s">
        <v>46</v>
      </c>
      <c r="N103" s="12" t="s">
        <v>606</v>
      </c>
      <c r="O103" s="2" t="s">
        <v>47</v>
      </c>
      <c r="P103" s="46" t="s">
        <v>815</v>
      </c>
      <c r="Q103" s="2" t="s">
        <v>638</v>
      </c>
      <c r="R103" s="2" t="s">
        <v>397</v>
      </c>
      <c r="S103" s="5">
        <v>45894</v>
      </c>
      <c r="T103" s="5">
        <v>46259</v>
      </c>
      <c r="U103" s="2">
        <v>12</v>
      </c>
      <c r="V103" s="40" t="s">
        <v>630</v>
      </c>
      <c r="AA103" s="41"/>
      <c r="AB103" s="2"/>
      <c r="AC103" s="2" t="s">
        <v>805</v>
      </c>
      <c r="AD103" s="2" t="s">
        <v>507</v>
      </c>
      <c r="AE103" s="4">
        <v>40</v>
      </c>
      <c r="AJ103" s="21" t="s">
        <v>443</v>
      </c>
      <c r="AK103" s="2" t="s">
        <v>49</v>
      </c>
      <c r="AL103" s="12" t="s">
        <v>424</v>
      </c>
      <c r="AM103" s="42" t="s">
        <v>78</v>
      </c>
      <c r="AN103" s="12" t="s">
        <v>245</v>
      </c>
      <c r="AO103" s="12" t="s">
        <v>49</v>
      </c>
      <c r="AP103" s="12" t="s">
        <v>416</v>
      </c>
      <c r="AQ103" s="42" t="s">
        <v>483</v>
      </c>
      <c r="AR103" s="12"/>
      <c r="AS103" s="12"/>
      <c r="AT103" s="12"/>
      <c r="AU103" s="42"/>
      <c r="AV103" s="7">
        <v>48.4</v>
      </c>
      <c r="AW103" s="13">
        <v>46267</v>
      </c>
      <c r="AX103" s="13">
        <v>46267</v>
      </c>
      <c r="AY103" s="13">
        <v>46267</v>
      </c>
      <c r="AZ103" s="12"/>
      <c r="BA103" s="2" t="s">
        <v>51</v>
      </c>
      <c r="BB103" s="2" t="s">
        <v>52</v>
      </c>
      <c r="BC103" s="2" t="s">
        <v>398</v>
      </c>
      <c r="BD103" s="2" t="s">
        <v>397</v>
      </c>
      <c r="BE103" s="43">
        <v>0.5</v>
      </c>
      <c r="BF103" s="4">
        <f t="shared" si="3"/>
        <v>1202866727</v>
      </c>
      <c r="BG103" s="11" t="str">
        <f t="shared" si="3"/>
        <v>EXCCL-5235947</v>
      </c>
      <c r="BH103" s="11"/>
      <c r="BI103" s="33"/>
      <c r="BJ103" s="156"/>
    </row>
    <row r="104" spans="1:62" ht="15" customHeight="1" x14ac:dyDescent="0.35">
      <c r="A104" s="11"/>
      <c r="B104" s="152" t="s">
        <v>968</v>
      </c>
      <c r="C104" s="21" t="s">
        <v>359</v>
      </c>
      <c r="D104" s="12" t="s">
        <v>362</v>
      </c>
      <c r="E104" s="17" t="s">
        <v>363</v>
      </c>
      <c r="F104" s="11" t="s">
        <v>843</v>
      </c>
      <c r="G104" s="13">
        <v>34800</v>
      </c>
      <c r="H104" s="11">
        <f>2026-1995</f>
        <v>31</v>
      </c>
      <c r="I104" s="2" t="s">
        <v>399</v>
      </c>
      <c r="J104" s="2" t="s">
        <v>44</v>
      </c>
      <c r="K104" s="12" t="s">
        <v>45</v>
      </c>
      <c r="L104" s="2" t="s">
        <v>46</v>
      </c>
      <c r="M104" s="2" t="s">
        <v>46</v>
      </c>
      <c r="N104" s="12" t="s">
        <v>607</v>
      </c>
      <c r="O104" s="2" t="s">
        <v>47</v>
      </c>
      <c r="P104" s="46" t="s">
        <v>816</v>
      </c>
      <c r="Q104" s="2" t="s">
        <v>638</v>
      </c>
      <c r="R104" s="2" t="s">
        <v>397</v>
      </c>
      <c r="S104" s="5">
        <v>45894</v>
      </c>
      <c r="T104" s="5">
        <v>46259</v>
      </c>
      <c r="U104" s="2">
        <v>12</v>
      </c>
      <c r="V104" s="40" t="s">
        <v>629</v>
      </c>
      <c r="AA104" s="41"/>
      <c r="AB104" s="2"/>
      <c r="AC104" s="2" t="s">
        <v>805</v>
      </c>
      <c r="AD104" s="2" t="s">
        <v>507</v>
      </c>
      <c r="AE104" s="4">
        <v>40</v>
      </c>
      <c r="AJ104" s="21" t="s">
        <v>81</v>
      </c>
      <c r="AK104" s="2" t="s">
        <v>49</v>
      </c>
      <c r="AL104" s="12" t="s">
        <v>46</v>
      </c>
      <c r="AM104" s="42" t="s">
        <v>189</v>
      </c>
      <c r="AN104" s="12"/>
      <c r="AO104" s="12"/>
      <c r="AP104" s="12"/>
      <c r="AQ104" s="42"/>
      <c r="AR104" s="12"/>
      <c r="AS104" s="12"/>
      <c r="AT104" s="12"/>
      <c r="AU104" s="42"/>
      <c r="AV104" s="7">
        <v>48.4</v>
      </c>
      <c r="AW104" s="13">
        <v>46267</v>
      </c>
      <c r="AX104" s="13">
        <v>46267</v>
      </c>
      <c r="AY104" s="13">
        <v>46267</v>
      </c>
      <c r="AZ104" s="12"/>
      <c r="BA104" s="2" t="s">
        <v>51</v>
      </c>
      <c r="BB104" s="2" t="s">
        <v>52</v>
      </c>
      <c r="BC104" s="2" t="s">
        <v>398</v>
      </c>
      <c r="BD104" s="2" t="s">
        <v>397</v>
      </c>
      <c r="BE104" s="43">
        <v>0.5</v>
      </c>
      <c r="BF104" s="4" t="str">
        <f t="shared" si="3"/>
        <v>1401186968</v>
      </c>
      <c r="BG104" s="11" t="str">
        <f t="shared" si="3"/>
        <v>EXCCL-1797659</v>
      </c>
      <c r="BH104" s="11"/>
      <c r="BI104" s="33"/>
      <c r="BJ104" s="156"/>
    </row>
    <row r="105" spans="1:62" ht="15" customHeight="1" x14ac:dyDescent="0.35">
      <c r="A105" s="11" t="s">
        <v>94</v>
      </c>
      <c r="B105" s="152" t="s">
        <v>969</v>
      </c>
      <c r="C105" s="21" t="s">
        <v>361</v>
      </c>
      <c r="D105" s="12" t="s">
        <v>365</v>
      </c>
      <c r="E105" s="17" t="s">
        <v>366</v>
      </c>
      <c r="F105" s="11" t="s">
        <v>844</v>
      </c>
      <c r="G105" s="13">
        <v>26011</v>
      </c>
      <c r="H105" s="11">
        <f>2026-1971</f>
        <v>55</v>
      </c>
      <c r="I105" s="2" t="s">
        <v>399</v>
      </c>
      <c r="J105" s="2" t="s">
        <v>44</v>
      </c>
      <c r="K105" s="12" t="s">
        <v>45</v>
      </c>
      <c r="L105" s="2" t="s">
        <v>46</v>
      </c>
      <c r="M105" s="2" t="s">
        <v>46</v>
      </c>
      <c r="N105" s="12" t="s">
        <v>608</v>
      </c>
      <c r="O105" s="2" t="s">
        <v>47</v>
      </c>
      <c r="P105" s="46" t="s">
        <v>817</v>
      </c>
      <c r="Q105" s="2" t="s">
        <v>638</v>
      </c>
      <c r="R105" s="2" t="s">
        <v>397</v>
      </c>
      <c r="S105" s="5">
        <v>45894</v>
      </c>
      <c r="T105" s="5">
        <v>46259</v>
      </c>
      <c r="U105" s="2">
        <v>12</v>
      </c>
      <c r="V105" s="40" t="s">
        <v>630</v>
      </c>
      <c r="AA105" s="41"/>
      <c r="AB105" s="2"/>
      <c r="AC105" s="2" t="s">
        <v>805</v>
      </c>
      <c r="AD105" s="2" t="s">
        <v>507</v>
      </c>
      <c r="AE105" s="4">
        <v>40</v>
      </c>
      <c r="AJ105" s="21" t="s">
        <v>250</v>
      </c>
      <c r="AK105" s="2" t="s">
        <v>49</v>
      </c>
      <c r="AL105" s="12" t="s">
        <v>423</v>
      </c>
      <c r="AM105" s="42" t="s">
        <v>434</v>
      </c>
      <c r="AN105" s="12" t="s">
        <v>231</v>
      </c>
      <c r="AO105" s="12" t="s">
        <v>49</v>
      </c>
      <c r="AP105" s="12" t="s">
        <v>416</v>
      </c>
      <c r="AQ105" s="42" t="s">
        <v>231</v>
      </c>
      <c r="AR105" s="12"/>
      <c r="AS105" s="12"/>
      <c r="AT105" s="12"/>
      <c r="AU105" s="42"/>
      <c r="AV105" s="7">
        <v>48.4</v>
      </c>
      <c r="AW105" s="13">
        <v>46267</v>
      </c>
      <c r="AX105" s="13">
        <v>46267</v>
      </c>
      <c r="AY105" s="13">
        <v>46267</v>
      </c>
      <c r="AZ105" s="12"/>
      <c r="BA105" s="2" t="s">
        <v>51</v>
      </c>
      <c r="BB105" s="2" t="s">
        <v>52</v>
      </c>
      <c r="BC105" s="2" t="s">
        <v>398</v>
      </c>
      <c r="BD105" s="2" t="s">
        <v>397</v>
      </c>
      <c r="BE105" s="43">
        <v>0.5</v>
      </c>
      <c r="BF105" s="4" t="str">
        <f t="shared" si="3"/>
        <v>0102287232</v>
      </c>
      <c r="BG105" s="11" t="str">
        <f t="shared" si="3"/>
        <v>EXCCL-2676199</v>
      </c>
      <c r="BH105" s="11"/>
      <c r="BI105" s="33"/>
      <c r="BJ105" s="156"/>
    </row>
    <row r="106" spans="1:62" ht="15" customHeight="1" x14ac:dyDescent="0.35">
      <c r="A106" s="11" t="s">
        <v>94</v>
      </c>
      <c r="B106" s="152" t="s">
        <v>970</v>
      </c>
      <c r="C106" s="21" t="s">
        <v>364</v>
      </c>
      <c r="D106" s="12" t="s">
        <v>368</v>
      </c>
      <c r="E106" s="16">
        <v>1400541338</v>
      </c>
      <c r="F106" s="11" t="s">
        <v>845</v>
      </c>
      <c r="G106" s="13">
        <v>32046</v>
      </c>
      <c r="H106" s="11">
        <f>2026-1987</f>
        <v>39</v>
      </c>
      <c r="I106" s="2" t="s">
        <v>399</v>
      </c>
      <c r="J106" s="2" t="s">
        <v>44</v>
      </c>
      <c r="K106" s="12" t="s">
        <v>45</v>
      </c>
      <c r="L106" s="2" t="s">
        <v>46</v>
      </c>
      <c r="M106" s="2" t="s">
        <v>46</v>
      </c>
      <c r="N106" s="12" t="s">
        <v>609</v>
      </c>
      <c r="O106" s="2" t="s">
        <v>47</v>
      </c>
      <c r="P106" s="46" t="s">
        <v>818</v>
      </c>
      <c r="Q106" s="2" t="s">
        <v>638</v>
      </c>
      <c r="R106" s="2" t="s">
        <v>397</v>
      </c>
      <c r="S106" s="5">
        <v>45894</v>
      </c>
      <c r="T106" s="5">
        <v>46259</v>
      </c>
      <c r="U106" s="2">
        <v>12</v>
      </c>
      <c r="V106" s="40" t="s">
        <v>630</v>
      </c>
      <c r="AA106" s="41"/>
      <c r="AB106" s="2"/>
      <c r="AC106" s="2" t="s">
        <v>805</v>
      </c>
      <c r="AD106" s="2" t="s">
        <v>507</v>
      </c>
      <c r="AE106" s="4">
        <v>40</v>
      </c>
      <c r="AJ106" s="21" t="s">
        <v>90</v>
      </c>
      <c r="AK106" s="2" t="s">
        <v>49</v>
      </c>
      <c r="AL106" s="12" t="s">
        <v>46</v>
      </c>
      <c r="AM106" s="42" t="s">
        <v>78</v>
      </c>
      <c r="AN106" s="12" t="s">
        <v>484</v>
      </c>
      <c r="AO106" s="12" t="s">
        <v>49</v>
      </c>
      <c r="AP106" s="12" t="s">
        <v>419</v>
      </c>
      <c r="AQ106" s="42" t="s">
        <v>232</v>
      </c>
      <c r="AR106" s="12"/>
      <c r="AS106" s="12"/>
      <c r="AT106" s="12"/>
      <c r="AU106" s="42"/>
      <c r="AV106" s="7">
        <v>48.4</v>
      </c>
      <c r="AW106" s="13">
        <v>46267</v>
      </c>
      <c r="AX106" s="13">
        <v>46267</v>
      </c>
      <c r="AY106" s="13">
        <v>46267</v>
      </c>
      <c r="AZ106" s="12"/>
      <c r="BA106" s="2" t="s">
        <v>51</v>
      </c>
      <c r="BB106" s="2" t="s">
        <v>52</v>
      </c>
      <c r="BC106" s="2" t="s">
        <v>398</v>
      </c>
      <c r="BD106" s="2" t="s">
        <v>397</v>
      </c>
      <c r="BE106" s="43">
        <v>0.5</v>
      </c>
      <c r="BF106" s="4">
        <f t="shared" si="3"/>
        <v>1400541338</v>
      </c>
      <c r="BG106" s="11" t="str">
        <f t="shared" si="3"/>
        <v>EXCCL-6231556</v>
      </c>
      <c r="BH106" s="11"/>
      <c r="BI106" s="33"/>
      <c r="BJ106" s="156"/>
    </row>
    <row r="107" spans="1:62" ht="15" customHeight="1" x14ac:dyDescent="0.35">
      <c r="A107" s="11" t="s">
        <v>94</v>
      </c>
      <c r="B107" s="152" t="s">
        <v>971</v>
      </c>
      <c r="C107" s="21" t="s">
        <v>367</v>
      </c>
      <c r="D107" s="12" t="s">
        <v>370</v>
      </c>
      <c r="E107" s="16">
        <v>1400484042</v>
      </c>
      <c r="F107" s="11" t="s">
        <v>846</v>
      </c>
      <c r="G107" s="13">
        <v>34184</v>
      </c>
      <c r="H107" s="11">
        <f>2026-1993</f>
        <v>33</v>
      </c>
      <c r="I107" s="2" t="s">
        <v>399</v>
      </c>
      <c r="J107" s="2" t="s">
        <v>44</v>
      </c>
      <c r="K107" s="12" t="s">
        <v>45</v>
      </c>
      <c r="L107" s="2" t="s">
        <v>46</v>
      </c>
      <c r="M107" s="2" t="s">
        <v>46</v>
      </c>
      <c r="N107" s="12" t="s">
        <v>610</v>
      </c>
      <c r="O107" s="2" t="s">
        <v>47</v>
      </c>
      <c r="P107" s="46" t="s">
        <v>819</v>
      </c>
      <c r="Q107" s="2" t="s">
        <v>638</v>
      </c>
      <c r="R107" s="2" t="s">
        <v>397</v>
      </c>
      <c r="S107" s="5">
        <v>45894</v>
      </c>
      <c r="T107" s="5">
        <v>46259</v>
      </c>
      <c r="U107" s="2">
        <v>12</v>
      </c>
      <c r="V107" s="40" t="s">
        <v>630</v>
      </c>
      <c r="AA107" s="41"/>
      <c r="AB107" s="2"/>
      <c r="AC107" s="2" t="s">
        <v>805</v>
      </c>
      <c r="AD107" s="2" t="s">
        <v>507</v>
      </c>
      <c r="AE107" s="4">
        <v>40</v>
      </c>
      <c r="AF107" s="2"/>
      <c r="AG107" s="2"/>
      <c r="AH107" s="2"/>
      <c r="AJ107" s="21"/>
      <c r="AK107" s="12"/>
      <c r="AL107" s="12"/>
      <c r="AM107" s="42"/>
      <c r="AN107" s="12" t="s">
        <v>270</v>
      </c>
      <c r="AO107" s="12" t="s">
        <v>49</v>
      </c>
      <c r="AP107" s="12" t="s">
        <v>420</v>
      </c>
      <c r="AQ107" s="42" t="s">
        <v>451</v>
      </c>
      <c r="AR107" s="12"/>
      <c r="AS107" s="12"/>
      <c r="AT107" s="12"/>
      <c r="AU107" s="42"/>
      <c r="AV107" s="7">
        <v>48.4</v>
      </c>
      <c r="AW107" s="13">
        <v>46267</v>
      </c>
      <c r="AX107" s="13">
        <v>46267</v>
      </c>
      <c r="AY107" s="13">
        <v>46267</v>
      </c>
      <c r="AZ107" s="12"/>
      <c r="BA107" s="2" t="s">
        <v>51</v>
      </c>
      <c r="BB107" s="2" t="s">
        <v>52</v>
      </c>
      <c r="BC107" s="2" t="s">
        <v>398</v>
      </c>
      <c r="BD107" s="2" t="s">
        <v>397</v>
      </c>
      <c r="BE107" s="43">
        <v>0.5</v>
      </c>
      <c r="BF107" s="4">
        <f t="shared" si="3"/>
        <v>1400484042</v>
      </c>
      <c r="BG107" s="11" t="str">
        <f t="shared" si="3"/>
        <v>EXCCL-8983278</v>
      </c>
      <c r="BH107" s="11"/>
      <c r="BI107" s="33"/>
      <c r="BJ107" s="156"/>
    </row>
    <row r="108" spans="1:62" ht="15" customHeight="1" x14ac:dyDescent="0.35">
      <c r="A108" s="11" t="s">
        <v>94</v>
      </c>
      <c r="B108" s="152" t="s">
        <v>972</v>
      </c>
      <c r="C108" s="21" t="s">
        <v>369</v>
      </c>
      <c r="D108" s="12" t="s">
        <v>372</v>
      </c>
      <c r="E108" s="17">
        <v>1400421374</v>
      </c>
      <c r="F108" s="11" t="s">
        <v>847</v>
      </c>
      <c r="G108" s="13">
        <v>29799</v>
      </c>
      <c r="H108" s="11">
        <f>2026-1981</f>
        <v>45</v>
      </c>
      <c r="I108" s="2" t="s">
        <v>399</v>
      </c>
      <c r="J108" s="2" t="s">
        <v>44</v>
      </c>
      <c r="K108" s="12" t="s">
        <v>45</v>
      </c>
      <c r="L108" s="2" t="s">
        <v>46</v>
      </c>
      <c r="M108" s="2" t="s">
        <v>46</v>
      </c>
      <c r="N108" s="12" t="s">
        <v>611</v>
      </c>
      <c r="O108" s="2" t="s">
        <v>47</v>
      </c>
      <c r="P108" s="46" t="s">
        <v>820</v>
      </c>
      <c r="Q108" s="2" t="s">
        <v>638</v>
      </c>
      <c r="R108" s="2" t="s">
        <v>397</v>
      </c>
      <c r="S108" s="5">
        <v>45894</v>
      </c>
      <c r="T108" s="5">
        <v>46259</v>
      </c>
      <c r="U108" s="2">
        <v>12</v>
      </c>
      <c r="V108" s="40" t="s">
        <v>630</v>
      </c>
      <c r="AA108" s="41"/>
      <c r="AB108" s="2"/>
      <c r="AC108" s="2" t="s">
        <v>805</v>
      </c>
      <c r="AD108" s="2" t="s">
        <v>507</v>
      </c>
      <c r="AE108" s="4">
        <v>40</v>
      </c>
      <c r="AJ108" s="21" t="s">
        <v>90</v>
      </c>
      <c r="AK108" s="2" t="s">
        <v>49</v>
      </c>
      <c r="AL108" s="12" t="s">
        <v>46</v>
      </c>
      <c r="AM108" s="42" t="s">
        <v>78</v>
      </c>
      <c r="AN108" s="12" t="s">
        <v>111</v>
      </c>
      <c r="AO108" s="12" t="s">
        <v>49</v>
      </c>
      <c r="AP108" s="12" t="s">
        <v>418</v>
      </c>
      <c r="AQ108" s="42" t="s">
        <v>472</v>
      </c>
      <c r="AR108" s="12"/>
      <c r="AS108" s="12"/>
      <c r="AT108" s="12"/>
      <c r="AU108" s="42"/>
      <c r="AV108" s="7">
        <v>48.4</v>
      </c>
      <c r="AW108" s="13">
        <v>46267</v>
      </c>
      <c r="AX108" s="13">
        <v>46267</v>
      </c>
      <c r="AY108" s="13">
        <v>46267</v>
      </c>
      <c r="AZ108" s="12"/>
      <c r="BA108" s="2" t="s">
        <v>51</v>
      </c>
      <c r="BB108" s="2" t="s">
        <v>52</v>
      </c>
      <c r="BC108" s="2" t="s">
        <v>398</v>
      </c>
      <c r="BD108" s="2" t="s">
        <v>397</v>
      </c>
      <c r="BE108" s="43">
        <v>0.5</v>
      </c>
      <c r="BF108" s="4">
        <f t="shared" si="3"/>
        <v>1400421374</v>
      </c>
      <c r="BG108" s="11" t="str">
        <f t="shared" si="3"/>
        <v>EXCCL-4712468</v>
      </c>
      <c r="BH108" s="11"/>
      <c r="BI108" s="33"/>
      <c r="BJ108" s="156"/>
    </row>
    <row r="109" spans="1:62" ht="15" customHeight="1" x14ac:dyDescent="0.35">
      <c r="A109" s="11"/>
      <c r="B109" s="152" t="s">
        <v>973</v>
      </c>
      <c r="C109" s="21" t="s">
        <v>371</v>
      </c>
      <c r="D109" s="12" t="s">
        <v>374</v>
      </c>
      <c r="E109" s="17">
        <v>1400673297</v>
      </c>
      <c r="F109" s="86" t="s">
        <v>848</v>
      </c>
      <c r="G109" s="13">
        <v>30382</v>
      </c>
      <c r="H109" s="11">
        <f>2026-1983</f>
        <v>43</v>
      </c>
      <c r="I109" s="2" t="s">
        <v>399</v>
      </c>
      <c r="J109" s="2" t="s">
        <v>44</v>
      </c>
      <c r="K109" s="12" t="s">
        <v>45</v>
      </c>
      <c r="L109" s="2" t="s">
        <v>46</v>
      </c>
      <c r="M109" s="2" t="s">
        <v>46</v>
      </c>
      <c r="N109" s="12" t="s">
        <v>612</v>
      </c>
      <c r="O109" s="2" t="s">
        <v>47</v>
      </c>
      <c r="P109" s="46" t="s">
        <v>821</v>
      </c>
      <c r="Q109" s="2" t="s">
        <v>638</v>
      </c>
      <c r="R109" s="2" t="s">
        <v>397</v>
      </c>
      <c r="S109" s="5">
        <v>45894</v>
      </c>
      <c r="T109" s="5">
        <v>46259</v>
      </c>
      <c r="U109" s="2">
        <v>12</v>
      </c>
      <c r="V109" s="40" t="s">
        <v>629</v>
      </c>
      <c r="AA109" s="41"/>
      <c r="AB109" s="2"/>
      <c r="AC109" s="2" t="s">
        <v>805</v>
      </c>
      <c r="AD109" s="2" t="s">
        <v>507</v>
      </c>
      <c r="AE109" s="4">
        <v>40</v>
      </c>
      <c r="AF109" s="2" t="s">
        <v>626</v>
      </c>
      <c r="AG109" s="2" t="s">
        <v>49</v>
      </c>
      <c r="AH109" s="2" t="s">
        <v>627</v>
      </c>
      <c r="AJ109" s="21"/>
      <c r="AK109" s="12"/>
      <c r="AL109" s="12"/>
      <c r="AM109" s="42"/>
      <c r="AN109" s="12"/>
      <c r="AO109" s="12"/>
      <c r="AP109" s="12"/>
      <c r="AQ109" s="42"/>
      <c r="AR109" s="12"/>
      <c r="AS109" s="12"/>
      <c r="AT109" s="12"/>
      <c r="AU109" s="42"/>
      <c r="AV109" s="7">
        <v>48.4</v>
      </c>
      <c r="AW109" s="13">
        <v>46267</v>
      </c>
      <c r="AX109" s="13">
        <v>46267</v>
      </c>
      <c r="AY109" s="13">
        <v>46267</v>
      </c>
      <c r="AZ109" s="12"/>
      <c r="BA109" s="2" t="s">
        <v>51</v>
      </c>
      <c r="BB109" s="2" t="s">
        <v>52</v>
      </c>
      <c r="BC109" s="2" t="s">
        <v>398</v>
      </c>
      <c r="BD109" s="2" t="s">
        <v>397</v>
      </c>
      <c r="BE109" s="43">
        <v>0.66666666666666663</v>
      </c>
      <c r="BF109" s="4">
        <f t="shared" si="3"/>
        <v>1400673297</v>
      </c>
      <c r="BG109" s="11" t="str">
        <f t="shared" si="3"/>
        <v>EXCCL-465176</v>
      </c>
      <c r="BH109" s="11"/>
      <c r="BI109" s="33"/>
      <c r="BJ109" s="156"/>
    </row>
    <row r="110" spans="1:62" ht="15" customHeight="1" x14ac:dyDescent="0.35">
      <c r="A110" s="11"/>
      <c r="B110" s="152" t="s">
        <v>974</v>
      </c>
      <c r="C110" s="21" t="s">
        <v>373</v>
      </c>
      <c r="D110" s="12" t="s">
        <v>376</v>
      </c>
      <c r="E110" s="17">
        <v>1401223555</v>
      </c>
      <c r="F110" s="11" t="s">
        <v>849</v>
      </c>
      <c r="G110" s="13">
        <v>32629</v>
      </c>
      <c r="H110" s="11">
        <f>2026-1989</f>
        <v>37</v>
      </c>
      <c r="I110" s="2" t="s">
        <v>399</v>
      </c>
      <c r="J110" s="2" t="s">
        <v>44</v>
      </c>
      <c r="K110" s="12" t="s">
        <v>45</v>
      </c>
      <c r="L110" s="2" t="s">
        <v>46</v>
      </c>
      <c r="M110" s="2" t="s">
        <v>46</v>
      </c>
      <c r="N110" s="12" t="s">
        <v>613</v>
      </c>
      <c r="O110" s="2" t="s">
        <v>47</v>
      </c>
      <c r="P110" s="46" t="s">
        <v>822</v>
      </c>
      <c r="Q110" s="2" t="s">
        <v>638</v>
      </c>
      <c r="R110" s="2" t="s">
        <v>397</v>
      </c>
      <c r="S110" s="5">
        <v>45894</v>
      </c>
      <c r="T110" s="5">
        <v>46259</v>
      </c>
      <c r="U110" s="2">
        <v>12</v>
      </c>
      <c r="V110" s="40" t="s">
        <v>629</v>
      </c>
      <c r="AA110" s="41"/>
      <c r="AB110" s="2"/>
      <c r="AC110" s="2" t="s">
        <v>805</v>
      </c>
      <c r="AD110" s="2" t="s">
        <v>507</v>
      </c>
      <c r="AE110" s="4">
        <v>40</v>
      </c>
      <c r="AJ110" s="21" t="s">
        <v>444</v>
      </c>
      <c r="AK110" s="2" t="s">
        <v>49</v>
      </c>
      <c r="AL110" s="12" t="s">
        <v>499</v>
      </c>
      <c r="AM110" s="42" t="s">
        <v>78</v>
      </c>
      <c r="AN110" s="12"/>
      <c r="AO110" s="12"/>
      <c r="AP110" s="12"/>
      <c r="AQ110" s="42"/>
      <c r="AR110" s="12"/>
      <c r="AS110" s="12"/>
      <c r="AT110" s="12"/>
      <c r="AU110" s="42"/>
      <c r="AV110" s="7">
        <v>48.4</v>
      </c>
      <c r="AW110" s="13">
        <v>46267</v>
      </c>
      <c r="AX110" s="13">
        <v>46267</v>
      </c>
      <c r="AY110" s="13">
        <v>46267</v>
      </c>
      <c r="AZ110" s="12"/>
      <c r="BA110" s="2" t="s">
        <v>51</v>
      </c>
      <c r="BB110" s="2" t="s">
        <v>52</v>
      </c>
      <c r="BC110" s="2" t="s">
        <v>398</v>
      </c>
      <c r="BD110" s="2" t="s">
        <v>397</v>
      </c>
      <c r="BE110" s="43">
        <v>0.66666666666666663</v>
      </c>
      <c r="BF110" s="4">
        <f t="shared" si="3"/>
        <v>1401223555</v>
      </c>
      <c r="BG110" s="11" t="str">
        <f t="shared" si="3"/>
        <v>EXCCL-8917921</v>
      </c>
      <c r="BH110" s="11"/>
      <c r="BI110" s="33"/>
      <c r="BJ110" s="156"/>
    </row>
    <row r="111" spans="1:62" ht="15" customHeight="1" x14ac:dyDescent="0.35">
      <c r="A111" s="11" t="s">
        <v>94</v>
      </c>
      <c r="B111" s="152" t="s">
        <v>975</v>
      </c>
      <c r="C111" s="21" t="s">
        <v>375</v>
      </c>
      <c r="D111" s="12" t="s">
        <v>378</v>
      </c>
      <c r="E111" s="16">
        <v>1715851794</v>
      </c>
      <c r="F111" s="11" t="s">
        <v>850</v>
      </c>
      <c r="G111" s="13">
        <v>29190</v>
      </c>
      <c r="H111" s="11">
        <f>2026-1979</f>
        <v>47</v>
      </c>
      <c r="I111" s="2" t="s">
        <v>399</v>
      </c>
      <c r="J111" s="2" t="s">
        <v>44</v>
      </c>
      <c r="K111" s="12" t="s">
        <v>45</v>
      </c>
      <c r="L111" s="2" t="s">
        <v>46</v>
      </c>
      <c r="M111" s="2" t="s">
        <v>46</v>
      </c>
      <c r="N111" s="12" t="s">
        <v>614</v>
      </c>
      <c r="O111" s="2" t="s">
        <v>47</v>
      </c>
      <c r="P111" s="46" t="s">
        <v>823</v>
      </c>
      <c r="Q111" s="2" t="s">
        <v>638</v>
      </c>
      <c r="R111" s="2" t="s">
        <v>397</v>
      </c>
      <c r="S111" s="5">
        <v>45894</v>
      </c>
      <c r="T111" s="5">
        <v>46259</v>
      </c>
      <c r="U111" s="2">
        <v>12</v>
      </c>
      <c r="V111" s="40" t="s">
        <v>630</v>
      </c>
      <c r="AA111" s="41"/>
      <c r="AB111" s="2"/>
      <c r="AC111" s="2" t="s">
        <v>805</v>
      </c>
      <c r="AD111" s="2" t="s">
        <v>507</v>
      </c>
      <c r="AE111" s="4">
        <v>40</v>
      </c>
      <c r="AJ111" s="21" t="s">
        <v>445</v>
      </c>
      <c r="AK111" s="2" t="s">
        <v>49</v>
      </c>
      <c r="AL111" s="12" t="s">
        <v>419</v>
      </c>
      <c r="AM111" s="42" t="s">
        <v>78</v>
      </c>
      <c r="AN111" s="12" t="s">
        <v>470</v>
      </c>
      <c r="AO111" s="12" t="s">
        <v>49</v>
      </c>
      <c r="AP111" s="12" t="s">
        <v>419</v>
      </c>
      <c r="AQ111" s="42" t="s">
        <v>471</v>
      </c>
      <c r="AR111" s="12"/>
      <c r="AS111" s="12"/>
      <c r="AT111" s="12"/>
      <c r="AU111" s="42"/>
      <c r="AV111" s="7">
        <v>48.4</v>
      </c>
      <c r="AW111" s="13">
        <v>46267</v>
      </c>
      <c r="AX111" s="13">
        <v>46267</v>
      </c>
      <c r="AY111" s="13">
        <v>46267</v>
      </c>
      <c r="AZ111" s="12"/>
      <c r="BA111" s="2" t="s">
        <v>51</v>
      </c>
      <c r="BB111" s="2" t="s">
        <v>52</v>
      </c>
      <c r="BC111" s="2" t="s">
        <v>398</v>
      </c>
      <c r="BD111" s="2" t="s">
        <v>397</v>
      </c>
      <c r="BE111" s="43">
        <v>0.66666666666666663</v>
      </c>
      <c r="BF111" s="4">
        <f t="shared" si="3"/>
        <v>1715851794</v>
      </c>
      <c r="BG111" s="11" t="str">
        <f t="shared" si="3"/>
        <v>EXCCL-6094313</v>
      </c>
      <c r="BH111" s="11"/>
      <c r="BI111" s="33"/>
      <c r="BJ111" s="156"/>
    </row>
    <row r="112" spans="1:62" ht="15" customHeight="1" x14ac:dyDescent="0.35">
      <c r="A112" s="11" t="s">
        <v>57</v>
      </c>
      <c r="B112" s="152" t="s">
        <v>976</v>
      </c>
      <c r="C112" s="21" t="s">
        <v>377</v>
      </c>
      <c r="D112" s="12" t="s">
        <v>380</v>
      </c>
      <c r="E112" s="17">
        <v>1400717086</v>
      </c>
      <c r="F112" s="11" t="s">
        <v>851</v>
      </c>
      <c r="G112" s="13">
        <v>30901</v>
      </c>
      <c r="H112" s="11">
        <f>2026-1984</f>
        <v>42</v>
      </c>
      <c r="I112" s="2" t="s">
        <v>399</v>
      </c>
      <c r="J112" s="2" t="s">
        <v>44</v>
      </c>
      <c r="K112" s="12" t="s">
        <v>45</v>
      </c>
      <c r="L112" s="2" t="s">
        <v>46</v>
      </c>
      <c r="M112" s="2" t="s">
        <v>46</v>
      </c>
      <c r="N112" s="12" t="s">
        <v>615</v>
      </c>
      <c r="O112" s="2" t="s">
        <v>47</v>
      </c>
      <c r="P112" s="46" t="s">
        <v>824</v>
      </c>
      <c r="Q112" s="2" t="s">
        <v>638</v>
      </c>
      <c r="R112" s="2" t="s">
        <v>397</v>
      </c>
      <c r="S112" s="5">
        <v>45894</v>
      </c>
      <c r="T112" s="5">
        <v>46259</v>
      </c>
      <c r="U112" s="2">
        <v>12</v>
      </c>
      <c r="V112" s="40" t="s">
        <v>629</v>
      </c>
      <c r="AA112" s="41"/>
      <c r="AB112" s="2"/>
      <c r="AC112" s="2" t="s">
        <v>805</v>
      </c>
      <c r="AD112" s="2" t="s">
        <v>507</v>
      </c>
      <c r="AE112" s="4">
        <v>40</v>
      </c>
      <c r="AF112" s="2" t="s">
        <v>626</v>
      </c>
      <c r="AG112" s="2" t="s">
        <v>49</v>
      </c>
      <c r="AH112" s="2" t="s">
        <v>627</v>
      </c>
      <c r="AJ112" s="21"/>
      <c r="AK112" s="12"/>
      <c r="AL112" s="12"/>
      <c r="AM112" s="42"/>
      <c r="AN112" s="12"/>
      <c r="AO112" s="12"/>
      <c r="AP112" s="12"/>
      <c r="AQ112" s="42"/>
      <c r="AR112" s="12"/>
      <c r="AS112" s="12"/>
      <c r="AT112" s="12"/>
      <c r="AU112" s="42"/>
      <c r="AV112" s="7">
        <v>48.4</v>
      </c>
      <c r="AW112" s="13">
        <v>46267</v>
      </c>
      <c r="AX112" s="13">
        <v>46267</v>
      </c>
      <c r="AY112" s="13">
        <v>46267</v>
      </c>
      <c r="AZ112" s="12"/>
      <c r="BA112" s="2" t="s">
        <v>51</v>
      </c>
      <c r="BB112" s="2" t="s">
        <v>52</v>
      </c>
      <c r="BC112" s="2" t="s">
        <v>398</v>
      </c>
      <c r="BD112" s="2" t="s">
        <v>397</v>
      </c>
      <c r="BE112" s="43">
        <v>0.66666666666666663</v>
      </c>
      <c r="BF112" s="4">
        <f t="shared" si="3"/>
        <v>1400717086</v>
      </c>
      <c r="BG112" s="11" t="str">
        <f t="shared" si="3"/>
        <v>EXCCL-5056226</v>
      </c>
      <c r="BH112" s="11"/>
      <c r="BI112" s="33"/>
      <c r="BJ112" s="156"/>
    </row>
    <row r="113" spans="1:62" ht="15" customHeight="1" x14ac:dyDescent="0.35">
      <c r="A113" s="11" t="s">
        <v>94</v>
      </c>
      <c r="B113" s="152" t="s">
        <v>977</v>
      </c>
      <c r="C113" s="21" t="s">
        <v>379</v>
      </c>
      <c r="D113" s="12" t="s">
        <v>382</v>
      </c>
      <c r="E113" s="17" t="s">
        <v>383</v>
      </c>
      <c r="F113" s="11" t="s">
        <v>852</v>
      </c>
      <c r="G113" s="13">
        <v>35593</v>
      </c>
      <c r="H113" s="11">
        <f>2026-1997</f>
        <v>29</v>
      </c>
      <c r="I113" s="2" t="s">
        <v>399</v>
      </c>
      <c r="J113" s="2" t="s">
        <v>44</v>
      </c>
      <c r="K113" s="12" t="s">
        <v>45</v>
      </c>
      <c r="L113" s="2" t="s">
        <v>46</v>
      </c>
      <c r="M113" s="2" t="s">
        <v>46</v>
      </c>
      <c r="N113" s="12" t="s">
        <v>616</v>
      </c>
      <c r="O113" s="2" t="s">
        <v>47</v>
      </c>
      <c r="P113" s="46" t="s">
        <v>825</v>
      </c>
      <c r="Q113" s="2" t="s">
        <v>638</v>
      </c>
      <c r="R113" s="2" t="s">
        <v>397</v>
      </c>
      <c r="S113" s="5">
        <v>45894</v>
      </c>
      <c r="T113" s="5">
        <v>46259</v>
      </c>
      <c r="U113" s="2">
        <v>12</v>
      </c>
      <c r="V113" s="40" t="s">
        <v>630</v>
      </c>
      <c r="AA113" s="41"/>
      <c r="AB113" s="2"/>
      <c r="AC113" s="2" t="s">
        <v>805</v>
      </c>
      <c r="AD113" s="2" t="s">
        <v>507</v>
      </c>
      <c r="AE113" s="4">
        <v>40</v>
      </c>
      <c r="AJ113" s="21" t="s">
        <v>250</v>
      </c>
      <c r="AK113" s="2" t="s">
        <v>49</v>
      </c>
      <c r="AL113" s="12" t="s">
        <v>416</v>
      </c>
      <c r="AM113" s="42" t="s">
        <v>446</v>
      </c>
      <c r="AN113" s="12" t="s">
        <v>224</v>
      </c>
      <c r="AO113" s="12" t="s">
        <v>49</v>
      </c>
      <c r="AP113" s="12" t="s">
        <v>416</v>
      </c>
      <c r="AQ113" s="42" t="s">
        <v>469</v>
      </c>
      <c r="AR113" s="12"/>
      <c r="AS113" s="12"/>
      <c r="AT113" s="12"/>
      <c r="AU113" s="42"/>
      <c r="AV113" s="7">
        <v>48.4</v>
      </c>
      <c r="AW113" s="13">
        <v>46267</v>
      </c>
      <c r="AX113" s="13">
        <v>46267</v>
      </c>
      <c r="AY113" s="13">
        <v>46267</v>
      </c>
      <c r="AZ113" s="12"/>
      <c r="BA113" s="2" t="s">
        <v>51</v>
      </c>
      <c r="BB113" s="2" t="s">
        <v>52</v>
      </c>
      <c r="BC113" s="2" t="s">
        <v>398</v>
      </c>
      <c r="BD113" s="2" t="s">
        <v>397</v>
      </c>
      <c r="BE113" s="43">
        <v>0.66666666666666663</v>
      </c>
      <c r="BF113" s="4" t="str">
        <f t="shared" si="3"/>
        <v>0105758296</v>
      </c>
      <c r="BG113" s="11" t="str">
        <f t="shared" si="3"/>
        <v>EXCCL-3118714</v>
      </c>
      <c r="BH113" s="11"/>
      <c r="BI113" s="33"/>
      <c r="BJ113" s="156"/>
    </row>
    <row r="114" spans="1:62" ht="15" customHeight="1" x14ac:dyDescent="0.35">
      <c r="A114" s="11"/>
      <c r="B114" s="152" t="s">
        <v>978</v>
      </c>
      <c r="C114" s="21" t="s">
        <v>381</v>
      </c>
      <c r="D114" s="12" t="s">
        <v>385</v>
      </c>
      <c r="E114" s="17">
        <v>1400733927</v>
      </c>
      <c r="F114" s="11" t="s">
        <v>853</v>
      </c>
      <c r="G114" s="13">
        <v>30880</v>
      </c>
      <c r="H114" s="11">
        <f>2026-1984</f>
        <v>42</v>
      </c>
      <c r="I114" s="2" t="s">
        <v>399</v>
      </c>
      <c r="J114" s="2" t="s">
        <v>44</v>
      </c>
      <c r="K114" s="12" t="s">
        <v>45</v>
      </c>
      <c r="L114" s="2" t="s">
        <v>46</v>
      </c>
      <c r="M114" s="2" t="s">
        <v>46</v>
      </c>
      <c r="N114" s="12" t="s">
        <v>617</v>
      </c>
      <c r="O114" s="2" t="s">
        <v>47</v>
      </c>
      <c r="P114" s="46" t="s">
        <v>826</v>
      </c>
      <c r="Q114" s="2" t="s">
        <v>638</v>
      </c>
      <c r="R114" s="2" t="s">
        <v>397</v>
      </c>
      <c r="S114" s="5">
        <v>45894</v>
      </c>
      <c r="T114" s="5">
        <v>46259</v>
      </c>
      <c r="U114" s="2">
        <v>12</v>
      </c>
      <c r="V114" s="40" t="s">
        <v>629</v>
      </c>
      <c r="AA114" s="41"/>
      <c r="AB114" s="2"/>
      <c r="AC114" s="2" t="s">
        <v>805</v>
      </c>
      <c r="AD114" s="2" t="s">
        <v>507</v>
      </c>
      <c r="AE114" s="4">
        <v>40</v>
      </c>
      <c r="AJ114" s="21" t="s">
        <v>447</v>
      </c>
      <c r="AK114" s="2" t="s">
        <v>49</v>
      </c>
      <c r="AL114" s="12" t="s">
        <v>491</v>
      </c>
      <c r="AM114" s="42" t="s">
        <v>78</v>
      </c>
      <c r="AN114" s="12"/>
      <c r="AO114" s="12"/>
      <c r="AP114" s="12"/>
      <c r="AQ114" s="42"/>
      <c r="AR114" s="12"/>
      <c r="AS114" s="12"/>
      <c r="AT114" s="12"/>
      <c r="AU114" s="42"/>
      <c r="AV114" s="7">
        <v>48.4</v>
      </c>
      <c r="AW114" s="13">
        <v>46267</v>
      </c>
      <c r="AX114" s="13">
        <v>46267</v>
      </c>
      <c r="AY114" s="13">
        <v>46267</v>
      </c>
      <c r="AZ114" s="12"/>
      <c r="BA114" s="2" t="s">
        <v>51</v>
      </c>
      <c r="BB114" s="2" t="s">
        <v>52</v>
      </c>
      <c r="BC114" s="2" t="s">
        <v>398</v>
      </c>
      <c r="BD114" s="2" t="s">
        <v>397</v>
      </c>
      <c r="BE114" s="43">
        <v>0.66666666666666663</v>
      </c>
      <c r="BF114" s="4">
        <f t="shared" si="3"/>
        <v>1400733927</v>
      </c>
      <c r="BG114" s="11" t="str">
        <f t="shared" si="3"/>
        <v>EXCCL-1053353</v>
      </c>
      <c r="BH114" s="11"/>
      <c r="BI114" s="33"/>
      <c r="BJ114" s="156"/>
    </row>
    <row r="115" spans="1:62" ht="15" customHeight="1" x14ac:dyDescent="0.35">
      <c r="A115" s="11"/>
      <c r="B115" s="152" t="s">
        <v>979</v>
      </c>
      <c r="C115" s="21" t="s">
        <v>384</v>
      </c>
      <c r="D115" s="12" t="s">
        <v>387</v>
      </c>
      <c r="E115" s="17">
        <v>1400320600</v>
      </c>
      <c r="F115" s="11" t="s">
        <v>854</v>
      </c>
      <c r="G115" s="13">
        <v>27187</v>
      </c>
      <c r="H115" s="11">
        <f>2026-1974</f>
        <v>52</v>
      </c>
      <c r="I115" s="2" t="s">
        <v>399</v>
      </c>
      <c r="J115" s="2" t="s">
        <v>44</v>
      </c>
      <c r="K115" s="12" t="s">
        <v>45</v>
      </c>
      <c r="L115" s="2" t="s">
        <v>46</v>
      </c>
      <c r="M115" s="2" t="s">
        <v>46</v>
      </c>
      <c r="N115" s="12" t="s">
        <v>618</v>
      </c>
      <c r="O115" s="2" t="s">
        <v>47</v>
      </c>
      <c r="P115" s="46" t="s">
        <v>827</v>
      </c>
      <c r="Q115" s="2" t="s">
        <v>638</v>
      </c>
      <c r="R115" s="2" t="s">
        <v>397</v>
      </c>
      <c r="S115" s="5">
        <v>45894</v>
      </c>
      <c r="T115" s="5">
        <v>46259</v>
      </c>
      <c r="U115" s="2">
        <v>12</v>
      </c>
      <c r="V115" s="40" t="s">
        <v>629</v>
      </c>
      <c r="AA115" s="41"/>
      <c r="AB115" s="2"/>
      <c r="AC115" s="2" t="s">
        <v>805</v>
      </c>
      <c r="AD115" s="2" t="s">
        <v>507</v>
      </c>
      <c r="AE115" s="4">
        <v>40</v>
      </c>
      <c r="AJ115" s="21" t="s">
        <v>173</v>
      </c>
      <c r="AK115" s="2" t="s">
        <v>49</v>
      </c>
      <c r="AL115" s="12" t="s">
        <v>492</v>
      </c>
      <c r="AM115" s="42" t="s">
        <v>102</v>
      </c>
      <c r="AN115" s="12"/>
      <c r="AO115" s="12"/>
      <c r="AP115" s="12"/>
      <c r="AQ115" s="42"/>
      <c r="AR115" s="12"/>
      <c r="AS115" s="12"/>
      <c r="AT115" s="12"/>
      <c r="AU115" s="42"/>
      <c r="AV115" s="7">
        <v>48.4</v>
      </c>
      <c r="AW115" s="13">
        <v>46267</v>
      </c>
      <c r="AX115" s="13">
        <v>46267</v>
      </c>
      <c r="AY115" s="13">
        <v>46267</v>
      </c>
      <c r="AZ115" s="12"/>
      <c r="BA115" s="2" t="s">
        <v>51</v>
      </c>
      <c r="BB115" s="2" t="s">
        <v>52</v>
      </c>
      <c r="BC115" s="2" t="s">
        <v>398</v>
      </c>
      <c r="BD115" s="2" t="s">
        <v>397</v>
      </c>
      <c r="BE115" s="43">
        <v>0.66666666666666663</v>
      </c>
      <c r="BF115" s="4">
        <f t="shared" si="3"/>
        <v>1400320600</v>
      </c>
      <c r="BG115" s="11" t="str">
        <f t="shared" si="3"/>
        <v>EXCCL-74788</v>
      </c>
      <c r="BH115" s="11"/>
      <c r="BI115" s="33"/>
      <c r="BJ115" s="156"/>
    </row>
    <row r="116" spans="1:62" ht="15" customHeight="1" x14ac:dyDescent="0.35">
      <c r="A116" s="11" t="s">
        <v>94</v>
      </c>
      <c r="B116" s="152" t="s">
        <v>980</v>
      </c>
      <c r="C116" s="21" t="s">
        <v>386</v>
      </c>
      <c r="D116" s="12" t="s">
        <v>389</v>
      </c>
      <c r="E116" s="16">
        <v>1401229222</v>
      </c>
      <c r="F116" s="11" t="s">
        <v>855</v>
      </c>
      <c r="G116" s="13">
        <v>34304</v>
      </c>
      <c r="H116" s="11">
        <f>2026-1993</f>
        <v>33</v>
      </c>
      <c r="I116" s="2" t="s">
        <v>399</v>
      </c>
      <c r="J116" s="2" t="s">
        <v>44</v>
      </c>
      <c r="K116" s="12" t="s">
        <v>45</v>
      </c>
      <c r="L116" s="2" t="s">
        <v>46</v>
      </c>
      <c r="M116" s="2" t="s">
        <v>46</v>
      </c>
      <c r="N116" s="12" t="s">
        <v>619</v>
      </c>
      <c r="O116" s="2" t="s">
        <v>47</v>
      </c>
      <c r="P116" s="46" t="s">
        <v>828</v>
      </c>
      <c r="Q116" s="2" t="s">
        <v>638</v>
      </c>
      <c r="R116" s="2" t="s">
        <v>397</v>
      </c>
      <c r="S116" s="5">
        <v>45894</v>
      </c>
      <c r="T116" s="5">
        <v>46259</v>
      </c>
      <c r="U116" s="2">
        <v>12</v>
      </c>
      <c r="V116" s="40" t="s">
        <v>630</v>
      </c>
      <c r="AA116" s="41"/>
      <c r="AB116" s="2"/>
      <c r="AC116" s="2" t="s">
        <v>805</v>
      </c>
      <c r="AD116" s="2" t="s">
        <v>507</v>
      </c>
      <c r="AE116" s="4">
        <v>40</v>
      </c>
      <c r="AJ116" s="21" t="s">
        <v>90</v>
      </c>
      <c r="AK116" s="2" t="s">
        <v>49</v>
      </c>
      <c r="AL116" s="12" t="s">
        <v>46</v>
      </c>
      <c r="AM116" s="42" t="s">
        <v>438</v>
      </c>
      <c r="AN116" s="12" t="s">
        <v>245</v>
      </c>
      <c r="AO116" s="12" t="s">
        <v>49</v>
      </c>
      <c r="AP116" s="12" t="s">
        <v>416</v>
      </c>
      <c r="AQ116" s="42" t="s">
        <v>468</v>
      </c>
      <c r="AR116" s="12"/>
      <c r="AS116" s="12"/>
      <c r="AT116" s="12"/>
      <c r="AU116" s="42"/>
      <c r="AV116" s="7">
        <v>48.4</v>
      </c>
      <c r="AW116" s="13">
        <v>46267</v>
      </c>
      <c r="AX116" s="13">
        <v>46267</v>
      </c>
      <c r="AY116" s="13">
        <v>46267</v>
      </c>
      <c r="AZ116" s="12"/>
      <c r="BA116" s="2" t="s">
        <v>51</v>
      </c>
      <c r="BB116" s="2" t="s">
        <v>52</v>
      </c>
      <c r="BC116" s="2" t="s">
        <v>398</v>
      </c>
      <c r="BD116" s="2" t="s">
        <v>397</v>
      </c>
      <c r="BE116" s="43">
        <v>0.66666666666666663</v>
      </c>
      <c r="BF116" s="4">
        <f t="shared" si="3"/>
        <v>1401229222</v>
      </c>
      <c r="BG116" s="11" t="str">
        <f t="shared" si="3"/>
        <v>EXCCL-336920</v>
      </c>
      <c r="BH116" s="11"/>
      <c r="BI116" s="33"/>
      <c r="BJ116" s="156"/>
    </row>
    <row r="117" spans="1:62" ht="15" customHeight="1" x14ac:dyDescent="0.35">
      <c r="A117" s="11" t="s">
        <v>57</v>
      </c>
      <c r="B117" s="152" t="s">
        <v>981</v>
      </c>
      <c r="C117" s="21" t="s">
        <v>388</v>
      </c>
      <c r="D117" s="12" t="s">
        <v>391</v>
      </c>
      <c r="E117" s="17">
        <v>1400773865</v>
      </c>
      <c r="F117" s="11" t="s">
        <v>856</v>
      </c>
      <c r="G117" s="13">
        <v>32080</v>
      </c>
      <c r="H117" s="11">
        <f>2026-1987</f>
        <v>39</v>
      </c>
      <c r="I117" s="2" t="s">
        <v>399</v>
      </c>
      <c r="J117" s="2" t="s">
        <v>44</v>
      </c>
      <c r="K117" s="12" t="s">
        <v>45</v>
      </c>
      <c r="L117" s="2" t="s">
        <v>46</v>
      </c>
      <c r="M117" s="2" t="s">
        <v>46</v>
      </c>
      <c r="N117" s="12" t="s">
        <v>620</v>
      </c>
      <c r="O117" s="2" t="s">
        <v>47</v>
      </c>
      <c r="P117" s="46" t="s">
        <v>829</v>
      </c>
      <c r="Q117" s="2" t="s">
        <v>638</v>
      </c>
      <c r="R117" s="2" t="s">
        <v>397</v>
      </c>
      <c r="S117" s="5">
        <v>45894</v>
      </c>
      <c r="T117" s="5">
        <v>46259</v>
      </c>
      <c r="U117" s="2">
        <v>12</v>
      </c>
      <c r="V117" s="40" t="s">
        <v>629</v>
      </c>
      <c r="AA117" s="41"/>
      <c r="AB117" s="2"/>
      <c r="AC117" s="2" t="s">
        <v>805</v>
      </c>
      <c r="AD117" s="2" t="s">
        <v>507</v>
      </c>
      <c r="AE117" s="4">
        <v>40</v>
      </c>
      <c r="AF117" s="2" t="s">
        <v>626</v>
      </c>
      <c r="AG117" s="2" t="s">
        <v>49</v>
      </c>
      <c r="AH117" s="2" t="s">
        <v>627</v>
      </c>
      <c r="AJ117" s="21"/>
      <c r="AK117" s="12"/>
      <c r="AL117" s="12"/>
      <c r="AM117" s="42"/>
      <c r="AN117" s="12"/>
      <c r="AO117" s="12"/>
      <c r="AP117" s="12"/>
      <c r="AQ117" s="42"/>
      <c r="AR117" s="12"/>
      <c r="AS117" s="12"/>
      <c r="AT117" s="12"/>
      <c r="AU117" s="42"/>
      <c r="AV117" s="7">
        <v>48.4</v>
      </c>
      <c r="AW117" s="13">
        <v>46267</v>
      </c>
      <c r="AX117" s="13">
        <v>46267</v>
      </c>
      <c r="AY117" s="13">
        <v>46267</v>
      </c>
      <c r="AZ117" s="12"/>
      <c r="BA117" s="2" t="s">
        <v>51</v>
      </c>
      <c r="BB117" s="2" t="s">
        <v>52</v>
      </c>
      <c r="BC117" s="2" t="s">
        <v>398</v>
      </c>
      <c r="BD117" s="2" t="s">
        <v>397</v>
      </c>
      <c r="BE117" s="43">
        <v>0.66666666666666663</v>
      </c>
      <c r="BF117" s="4">
        <f t="shared" si="3"/>
        <v>1400773865</v>
      </c>
      <c r="BG117" s="11" t="str">
        <f t="shared" si="3"/>
        <v>EXCCL-2283657</v>
      </c>
      <c r="BH117" s="11"/>
      <c r="BI117" s="33"/>
      <c r="BJ117" s="156"/>
    </row>
    <row r="118" spans="1:62" ht="15" customHeight="1" x14ac:dyDescent="0.35">
      <c r="A118" s="11" t="s">
        <v>94</v>
      </c>
      <c r="B118" s="152" t="s">
        <v>982</v>
      </c>
      <c r="C118" s="21" t="s">
        <v>390</v>
      </c>
      <c r="D118" s="12" t="s">
        <v>393</v>
      </c>
      <c r="E118" s="17">
        <v>1400275416</v>
      </c>
      <c r="F118" s="11" t="s">
        <v>857</v>
      </c>
      <c r="G118" s="13">
        <v>24798</v>
      </c>
      <c r="H118" s="11">
        <f>2026-1967</f>
        <v>59</v>
      </c>
      <c r="I118" s="2" t="s">
        <v>399</v>
      </c>
      <c r="J118" s="2" t="s">
        <v>44</v>
      </c>
      <c r="K118" s="12" t="s">
        <v>45</v>
      </c>
      <c r="L118" s="2" t="s">
        <v>46</v>
      </c>
      <c r="M118" s="2" t="s">
        <v>46</v>
      </c>
      <c r="N118" s="12" t="s">
        <v>621</v>
      </c>
      <c r="O118" s="2" t="s">
        <v>47</v>
      </c>
      <c r="P118" s="46" t="s">
        <v>830</v>
      </c>
      <c r="Q118" s="2" t="s">
        <v>638</v>
      </c>
      <c r="R118" s="2" t="s">
        <v>397</v>
      </c>
      <c r="S118" s="5">
        <v>45894</v>
      </c>
      <c r="T118" s="5">
        <v>46259</v>
      </c>
      <c r="U118" s="2">
        <v>12</v>
      </c>
      <c r="V118" s="40" t="s">
        <v>630</v>
      </c>
      <c r="AA118" s="41"/>
      <c r="AB118" s="2"/>
      <c r="AC118" s="2" t="s">
        <v>805</v>
      </c>
      <c r="AD118" s="2" t="s">
        <v>507</v>
      </c>
      <c r="AE118" s="4">
        <v>40</v>
      </c>
      <c r="AJ118" s="21" t="s">
        <v>173</v>
      </c>
      <c r="AK118" s="2" t="s">
        <v>49</v>
      </c>
      <c r="AL118" s="12" t="s">
        <v>493</v>
      </c>
      <c r="AM118" s="42" t="s">
        <v>425</v>
      </c>
      <c r="AN118" s="12" t="s">
        <v>466</v>
      </c>
      <c r="AO118" s="12" t="s">
        <v>49</v>
      </c>
      <c r="AP118" s="12" t="s">
        <v>419</v>
      </c>
      <c r="AQ118" s="42" t="s">
        <v>467</v>
      </c>
      <c r="AR118" s="12"/>
      <c r="AS118" s="12"/>
      <c r="AT118" s="12"/>
      <c r="AU118" s="42"/>
      <c r="AV118" s="7">
        <v>48.4</v>
      </c>
      <c r="AW118" s="13">
        <v>46267</v>
      </c>
      <c r="AX118" s="13">
        <v>46267</v>
      </c>
      <c r="AY118" s="13">
        <v>46267</v>
      </c>
      <c r="AZ118" s="12"/>
      <c r="BA118" s="2" t="s">
        <v>51</v>
      </c>
      <c r="BB118" s="2" t="s">
        <v>52</v>
      </c>
      <c r="BC118" s="2" t="s">
        <v>398</v>
      </c>
      <c r="BD118" s="2" t="s">
        <v>397</v>
      </c>
      <c r="BE118" s="43">
        <v>0.66666666666666663</v>
      </c>
      <c r="BF118" s="4">
        <f t="shared" si="3"/>
        <v>1400275416</v>
      </c>
      <c r="BG118" s="11" t="str">
        <f t="shared" si="3"/>
        <v>EXCCL-9023789</v>
      </c>
      <c r="BH118" s="11"/>
      <c r="BI118" s="33"/>
      <c r="BJ118" s="156"/>
    </row>
    <row r="119" spans="1:62" ht="15" customHeight="1" x14ac:dyDescent="0.35">
      <c r="A119" s="11" t="s">
        <v>94</v>
      </c>
      <c r="B119" s="152" t="s">
        <v>983</v>
      </c>
      <c r="C119" s="21" t="s">
        <v>392</v>
      </c>
      <c r="D119" s="12" t="s">
        <v>395</v>
      </c>
      <c r="E119" s="17">
        <v>1400468722</v>
      </c>
      <c r="F119" s="11" t="s">
        <v>858</v>
      </c>
      <c r="G119" s="13">
        <v>32853</v>
      </c>
      <c r="H119" s="11">
        <f>2026-1989</f>
        <v>37</v>
      </c>
      <c r="I119" s="2" t="s">
        <v>399</v>
      </c>
      <c r="J119" s="2" t="s">
        <v>44</v>
      </c>
      <c r="K119" s="12" t="s">
        <v>45</v>
      </c>
      <c r="L119" s="2" t="s">
        <v>46</v>
      </c>
      <c r="M119" s="2" t="s">
        <v>46</v>
      </c>
      <c r="N119" s="12" t="s">
        <v>622</v>
      </c>
      <c r="O119" s="2" t="s">
        <v>47</v>
      </c>
      <c r="P119" s="46" t="s">
        <v>831</v>
      </c>
      <c r="Q119" s="2" t="s">
        <v>638</v>
      </c>
      <c r="R119" s="2" t="s">
        <v>397</v>
      </c>
      <c r="S119" s="5">
        <v>45894</v>
      </c>
      <c r="T119" s="5">
        <v>46259</v>
      </c>
      <c r="U119" s="2">
        <v>12</v>
      </c>
      <c r="V119" s="40" t="s">
        <v>630</v>
      </c>
      <c r="AA119" s="41"/>
      <c r="AB119" s="2"/>
      <c r="AC119" s="2" t="s">
        <v>805</v>
      </c>
      <c r="AD119" s="2" t="s">
        <v>507</v>
      </c>
      <c r="AE119" s="4">
        <v>40</v>
      </c>
      <c r="AJ119" s="21" t="s">
        <v>90</v>
      </c>
      <c r="AK119" s="2" t="s">
        <v>49</v>
      </c>
      <c r="AL119" s="12" t="s">
        <v>46</v>
      </c>
      <c r="AM119" s="42" t="s">
        <v>78</v>
      </c>
      <c r="AN119" s="12"/>
      <c r="AO119" s="12"/>
      <c r="AP119" s="12"/>
      <c r="AQ119" s="42"/>
      <c r="AR119" s="12"/>
      <c r="AS119" s="12"/>
      <c r="AT119" s="12"/>
      <c r="AU119" s="42"/>
      <c r="AV119" s="7">
        <v>48.4</v>
      </c>
      <c r="AW119" s="13">
        <v>46267</v>
      </c>
      <c r="AX119" s="13">
        <v>46267</v>
      </c>
      <c r="AY119" s="13">
        <v>46267</v>
      </c>
      <c r="AZ119" s="12"/>
      <c r="BA119" s="2" t="s">
        <v>51</v>
      </c>
      <c r="BB119" s="2" t="s">
        <v>52</v>
      </c>
      <c r="BC119" s="2" t="s">
        <v>398</v>
      </c>
      <c r="BD119" s="2" t="s">
        <v>397</v>
      </c>
      <c r="BE119" s="43">
        <v>0.66666666666666663</v>
      </c>
      <c r="BF119" s="4">
        <f t="shared" si="3"/>
        <v>1400468722</v>
      </c>
      <c r="BG119" s="11" t="str">
        <f t="shared" si="3"/>
        <v>EXCCL-3212811</v>
      </c>
      <c r="BH119" s="11"/>
      <c r="BI119" s="33"/>
      <c r="BJ119" s="156"/>
    </row>
    <row r="120" spans="1:62" ht="15" customHeight="1" x14ac:dyDescent="0.35">
      <c r="A120" s="11" t="s">
        <v>57</v>
      </c>
      <c r="B120" s="152" t="s">
        <v>984</v>
      </c>
      <c r="C120" s="21" t="s">
        <v>394</v>
      </c>
      <c r="D120" s="35" t="s">
        <v>396</v>
      </c>
      <c r="E120" s="36">
        <v>2100232871</v>
      </c>
      <c r="F120" s="37" t="s">
        <v>859</v>
      </c>
      <c r="G120" s="79">
        <v>28676</v>
      </c>
      <c r="H120" s="37">
        <f>2026-1978</f>
        <v>48</v>
      </c>
      <c r="I120" s="38" t="s">
        <v>399</v>
      </c>
      <c r="J120" s="38" t="s">
        <v>44</v>
      </c>
      <c r="K120" s="35" t="s">
        <v>45</v>
      </c>
      <c r="L120" s="38" t="s">
        <v>46</v>
      </c>
      <c r="M120" s="38" t="s">
        <v>46</v>
      </c>
      <c r="N120" s="35" t="s">
        <v>623</v>
      </c>
      <c r="O120" s="38" t="s">
        <v>47</v>
      </c>
      <c r="P120" s="75" t="s">
        <v>832</v>
      </c>
      <c r="Q120" s="38" t="s">
        <v>638</v>
      </c>
      <c r="R120" s="38" t="s">
        <v>397</v>
      </c>
      <c r="S120" s="74">
        <v>45894</v>
      </c>
      <c r="T120" s="74">
        <v>46259</v>
      </c>
      <c r="U120" s="38">
        <v>12</v>
      </c>
      <c r="V120" s="76" t="s">
        <v>629</v>
      </c>
      <c r="W120" s="80"/>
      <c r="X120" s="80"/>
      <c r="Y120" s="80"/>
      <c r="Z120" s="80"/>
      <c r="AA120" s="81"/>
      <c r="AB120" s="38"/>
      <c r="AC120" s="38" t="s">
        <v>805</v>
      </c>
      <c r="AD120" s="38" t="s">
        <v>507</v>
      </c>
      <c r="AE120" s="45">
        <v>40</v>
      </c>
      <c r="AF120" s="38" t="s">
        <v>626</v>
      </c>
      <c r="AG120" s="38" t="s">
        <v>49</v>
      </c>
      <c r="AH120" s="38" t="s">
        <v>627</v>
      </c>
      <c r="AI120" s="80"/>
      <c r="AJ120" s="34"/>
      <c r="AK120" s="35"/>
      <c r="AL120" s="35"/>
      <c r="AM120" s="82"/>
      <c r="AN120" s="35"/>
      <c r="AO120" s="35"/>
      <c r="AP120" s="35"/>
      <c r="AQ120" s="82"/>
      <c r="AR120" s="35"/>
      <c r="AS120" s="35"/>
      <c r="AT120" s="35"/>
      <c r="AU120" s="82"/>
      <c r="AV120" s="77">
        <v>48.4</v>
      </c>
      <c r="AW120" s="79">
        <v>46267</v>
      </c>
      <c r="AX120" s="79">
        <v>46267</v>
      </c>
      <c r="AY120" s="79">
        <v>46267</v>
      </c>
      <c r="AZ120" s="35"/>
      <c r="BA120" s="38" t="s">
        <v>51</v>
      </c>
      <c r="BB120" s="38" t="s">
        <v>52</v>
      </c>
      <c r="BC120" s="38" t="s">
        <v>398</v>
      </c>
      <c r="BD120" s="38" t="s">
        <v>397</v>
      </c>
      <c r="BE120" s="44">
        <v>0.66666666666666663</v>
      </c>
      <c r="BF120" s="45">
        <f t="shared" si="3"/>
        <v>2100232871</v>
      </c>
      <c r="BG120" s="37" t="str">
        <f t="shared" si="3"/>
        <v>EXCCL-9786253</v>
      </c>
      <c r="BH120" s="37"/>
      <c r="BI120" s="102"/>
      <c r="BJ120" s="157"/>
    </row>
    <row r="121" spans="1:62" x14ac:dyDescent="0.35">
      <c r="C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</row>
    <row r="122" spans="1:62" ht="15" customHeight="1" x14ac:dyDescent="0.35">
      <c r="A122" s="11" t="s">
        <v>94</v>
      </c>
      <c r="B122" s="11"/>
      <c r="C122" s="12" t="s">
        <v>757</v>
      </c>
      <c r="D122" s="12" t="s">
        <v>276</v>
      </c>
      <c r="E122" s="18">
        <v>1718736919</v>
      </c>
      <c r="F122" s="14"/>
      <c r="G122" s="13">
        <v>34280</v>
      </c>
      <c r="H122" s="11">
        <f>2026-1993</f>
        <v>33</v>
      </c>
      <c r="I122" s="2" t="s">
        <v>399</v>
      </c>
      <c r="J122" s="2" t="s">
        <v>44</v>
      </c>
      <c r="L122" s="2" t="s">
        <v>46</v>
      </c>
      <c r="M122" s="2" t="s">
        <v>46</v>
      </c>
      <c r="N122" s="12" t="s">
        <v>578</v>
      </c>
      <c r="O122" s="2" t="s">
        <v>47</v>
      </c>
      <c r="P122" s="2"/>
      <c r="Q122" s="2" t="s">
        <v>638</v>
      </c>
      <c r="R122" s="2" t="s">
        <v>397</v>
      </c>
      <c r="S122" s="5">
        <v>45894</v>
      </c>
      <c r="T122" s="5">
        <v>46259</v>
      </c>
      <c r="U122" s="2">
        <v>12</v>
      </c>
      <c r="V122" s="40" t="s">
        <v>630</v>
      </c>
      <c r="AA122" s="41"/>
      <c r="AB122" s="2"/>
      <c r="AC122" s="2" t="s">
        <v>805</v>
      </c>
      <c r="AD122" s="2" t="s">
        <v>507</v>
      </c>
      <c r="AE122" s="4">
        <v>40</v>
      </c>
      <c r="AJ122" s="21" t="s">
        <v>428</v>
      </c>
      <c r="AK122" s="2" t="s">
        <v>49</v>
      </c>
      <c r="AL122" s="12" t="s">
        <v>487</v>
      </c>
      <c r="AM122" s="42" t="s">
        <v>427</v>
      </c>
      <c r="AN122" s="12" t="s">
        <v>277</v>
      </c>
      <c r="AO122" s="2" t="s">
        <v>49</v>
      </c>
      <c r="AP122" s="12" t="s">
        <v>424</v>
      </c>
      <c r="AQ122" s="42" t="s">
        <v>278</v>
      </c>
      <c r="AR122" s="12"/>
      <c r="AS122" s="12"/>
      <c r="AT122" s="12"/>
      <c r="AU122" s="42"/>
      <c r="AV122" s="7">
        <v>48.4</v>
      </c>
      <c r="AW122" s="13">
        <v>46266</v>
      </c>
      <c r="AX122" s="13">
        <v>46266</v>
      </c>
      <c r="AY122" s="13">
        <v>46266</v>
      </c>
      <c r="BA122" s="2" t="s">
        <v>51</v>
      </c>
      <c r="BB122" s="2" t="s">
        <v>52</v>
      </c>
      <c r="BC122" s="2" t="s">
        <v>398</v>
      </c>
      <c r="BD122" s="2" t="s">
        <v>397</v>
      </c>
      <c r="BE122" s="43">
        <v>0.66666666666666663</v>
      </c>
      <c r="BF122" s="4">
        <f>E122</f>
        <v>1718736919</v>
      </c>
      <c r="BG122" s="11">
        <f>F122</f>
        <v>0</v>
      </c>
      <c r="BH122" s="11"/>
      <c r="BI122" s="33"/>
      <c r="BJ122" s="108" t="s">
        <v>726</v>
      </c>
    </row>
  </sheetData>
  <autoFilter ref="A3:BV120" xr:uid="{73791224-D2D5-4B96-97C6-9CCA841735D7}"/>
  <mergeCells count="11">
    <mergeCell ref="BJ4:BJ62"/>
    <mergeCell ref="BJ63:BJ120"/>
    <mergeCell ref="AW2:AZ2"/>
    <mergeCell ref="BA2:BE2"/>
    <mergeCell ref="Q2:V2"/>
    <mergeCell ref="W2:AA2"/>
    <mergeCell ref="AJ2:AM2"/>
    <mergeCell ref="AN2:AQ2"/>
    <mergeCell ref="AR2:AU2"/>
    <mergeCell ref="AB2:AE2"/>
    <mergeCell ref="AF2:AI2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C4AE-A9D8-4E65-A51D-4B9495686FED}">
  <dimension ref="A1:FB120"/>
  <sheetViews>
    <sheetView tabSelected="1" zoomScale="110" zoomScaleNormal="110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D22" sqref="D22"/>
    </sheetView>
  </sheetViews>
  <sheetFormatPr baseColWidth="10" defaultRowHeight="14.5" x14ac:dyDescent="0.35"/>
  <cols>
    <col min="2" max="2" width="14.54296875" customWidth="1"/>
    <col min="3" max="3" width="42" customWidth="1"/>
    <col min="4" max="4" width="19.453125" customWidth="1"/>
    <col min="5" max="5" width="25.81640625" customWidth="1"/>
    <col min="6" max="6" width="25.26953125" customWidth="1"/>
    <col min="7" max="7" width="32.1796875" customWidth="1"/>
    <col min="8" max="8" width="17.7265625" customWidth="1"/>
  </cols>
  <sheetData>
    <row r="1" spans="1:158" ht="37.5" customHeight="1" x14ac:dyDescent="0.35">
      <c r="A1" s="110" t="s">
        <v>957</v>
      </c>
      <c r="B1" s="129" t="s">
        <v>990</v>
      </c>
      <c r="C1" s="110" t="s">
        <v>9</v>
      </c>
      <c r="D1" s="111" t="s">
        <v>989</v>
      </c>
      <c r="E1" s="112" t="s">
        <v>909</v>
      </c>
      <c r="F1" s="112" t="s">
        <v>910</v>
      </c>
      <c r="G1" s="109" t="s">
        <v>986</v>
      </c>
    </row>
    <row r="2" spans="1:158" s="137" customFormat="1" x14ac:dyDescent="0.35">
      <c r="A2" s="132" t="s">
        <v>42</v>
      </c>
      <c r="B2" s="131" t="s">
        <v>864</v>
      </c>
      <c r="C2" s="133" t="s">
        <v>43</v>
      </c>
      <c r="D2" s="134" t="s">
        <v>628</v>
      </c>
      <c r="E2" s="135" t="s">
        <v>862</v>
      </c>
      <c r="F2" s="135"/>
      <c r="G2" s="136" t="s">
        <v>991</v>
      </c>
      <c r="H2" s="174" t="s">
        <v>725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</row>
    <row r="3" spans="1:158" x14ac:dyDescent="0.35">
      <c r="A3" s="119" t="s">
        <v>53</v>
      </c>
      <c r="B3" s="116" t="s">
        <v>865</v>
      </c>
      <c r="C3" s="113" t="s">
        <v>54</v>
      </c>
      <c r="D3" s="114">
        <v>1400922082</v>
      </c>
      <c r="E3" s="95"/>
      <c r="F3" s="115" t="s">
        <v>863</v>
      </c>
      <c r="G3" s="126"/>
      <c r="H3" s="175"/>
    </row>
    <row r="4" spans="1:158" x14ac:dyDescent="0.35">
      <c r="A4" s="119" t="s">
        <v>58</v>
      </c>
      <c r="B4" s="116" t="s">
        <v>866</v>
      </c>
      <c r="C4" s="113" t="s">
        <v>59</v>
      </c>
      <c r="D4" s="114" t="s">
        <v>60</v>
      </c>
      <c r="E4" s="95"/>
      <c r="F4" s="115" t="s">
        <v>863</v>
      </c>
      <c r="G4" s="126"/>
      <c r="H4" s="175"/>
    </row>
    <row r="5" spans="1:158" x14ac:dyDescent="0.35">
      <c r="A5" s="119" t="s">
        <v>62</v>
      </c>
      <c r="B5" s="116" t="s">
        <v>867</v>
      </c>
      <c r="C5" s="113" t="s">
        <v>63</v>
      </c>
      <c r="D5" s="114" t="s">
        <v>64</v>
      </c>
      <c r="E5" s="95"/>
      <c r="F5" s="115" t="s">
        <v>863</v>
      </c>
      <c r="G5" s="126"/>
      <c r="H5" s="175"/>
    </row>
    <row r="6" spans="1:158" s="137" customFormat="1" x14ac:dyDescent="0.35">
      <c r="A6" s="132" t="s">
        <v>65</v>
      </c>
      <c r="B6" s="131" t="s">
        <v>868</v>
      </c>
      <c r="C6" s="133" t="s">
        <v>66</v>
      </c>
      <c r="D6" s="134">
        <v>1600435190</v>
      </c>
      <c r="E6" s="135" t="s">
        <v>862</v>
      </c>
      <c r="F6" s="135"/>
      <c r="G6" s="135" t="s">
        <v>991</v>
      </c>
      <c r="H6" s="175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</row>
    <row r="7" spans="1:158" x14ac:dyDescent="0.35">
      <c r="A7" s="119" t="s">
        <v>67</v>
      </c>
      <c r="B7" s="116" t="s">
        <v>869</v>
      </c>
      <c r="C7" s="113" t="s">
        <v>68</v>
      </c>
      <c r="D7" s="114" t="s">
        <v>69</v>
      </c>
      <c r="E7" s="95"/>
      <c r="F7" s="115" t="s">
        <v>863</v>
      </c>
      <c r="G7" s="115"/>
      <c r="H7" s="175"/>
    </row>
    <row r="8" spans="1:158" x14ac:dyDescent="0.35">
      <c r="A8" s="119" t="s">
        <v>70</v>
      </c>
      <c r="B8" s="116" t="s">
        <v>870</v>
      </c>
      <c r="C8" s="113" t="s">
        <v>71</v>
      </c>
      <c r="D8" s="114">
        <v>1600175788</v>
      </c>
      <c r="E8" s="95"/>
      <c r="F8" s="115" t="s">
        <v>863</v>
      </c>
      <c r="G8" s="115"/>
      <c r="H8" s="175"/>
    </row>
    <row r="9" spans="1:158" x14ac:dyDescent="0.35">
      <c r="A9" s="119" t="s">
        <v>72</v>
      </c>
      <c r="B9" s="116" t="s">
        <v>871</v>
      </c>
      <c r="C9" s="113" t="s">
        <v>73</v>
      </c>
      <c r="D9" s="114">
        <v>1400498497</v>
      </c>
      <c r="E9" s="95"/>
      <c r="F9" s="115" t="s">
        <v>863</v>
      </c>
      <c r="G9" s="115"/>
      <c r="H9" s="175"/>
    </row>
    <row r="10" spans="1:158" s="137" customFormat="1" x14ac:dyDescent="0.35">
      <c r="A10" s="132" t="s">
        <v>74</v>
      </c>
      <c r="B10" s="131" t="s">
        <v>872</v>
      </c>
      <c r="C10" s="133" t="s">
        <v>75</v>
      </c>
      <c r="D10" s="134" t="s">
        <v>76</v>
      </c>
      <c r="E10" s="135" t="s">
        <v>862</v>
      </c>
      <c r="F10" s="135"/>
      <c r="G10" s="135" t="s">
        <v>991</v>
      </c>
      <c r="H10" s="17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</row>
    <row r="11" spans="1:158" s="137" customFormat="1" x14ac:dyDescent="0.35">
      <c r="A11" s="132" t="s">
        <v>79</v>
      </c>
      <c r="B11" s="131" t="s">
        <v>873</v>
      </c>
      <c r="C11" s="133" t="s">
        <v>80</v>
      </c>
      <c r="D11" s="134">
        <v>1450177868</v>
      </c>
      <c r="E11" s="135" t="s">
        <v>862</v>
      </c>
      <c r="F11" s="135"/>
      <c r="G11" s="135" t="s">
        <v>991</v>
      </c>
      <c r="H11" s="17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</row>
    <row r="12" spans="1:158" x14ac:dyDescent="0.35">
      <c r="A12" s="119" t="s">
        <v>83</v>
      </c>
      <c r="B12" s="116" t="s">
        <v>874</v>
      </c>
      <c r="C12" s="113" t="s">
        <v>84</v>
      </c>
      <c r="D12" s="114">
        <v>1400476337</v>
      </c>
      <c r="E12" s="95"/>
      <c r="F12" s="115" t="s">
        <v>863</v>
      </c>
      <c r="G12" s="115"/>
      <c r="H12" s="175"/>
    </row>
    <row r="13" spans="1:158" x14ac:dyDescent="0.35">
      <c r="A13" s="119" t="s">
        <v>86</v>
      </c>
      <c r="B13" s="116" t="s">
        <v>875</v>
      </c>
      <c r="C13" s="113" t="s">
        <v>87</v>
      </c>
      <c r="D13" s="114">
        <v>1400436232</v>
      </c>
      <c r="E13" s="95"/>
      <c r="F13" s="115" t="s">
        <v>863</v>
      </c>
      <c r="G13" s="115"/>
      <c r="H13" s="175"/>
    </row>
    <row r="14" spans="1:158" x14ac:dyDescent="0.35">
      <c r="A14" s="119" t="s">
        <v>88</v>
      </c>
      <c r="B14" s="116" t="s">
        <v>876</v>
      </c>
      <c r="C14" s="113" t="s">
        <v>89</v>
      </c>
      <c r="D14" s="114">
        <v>1400456370</v>
      </c>
      <c r="E14" s="95"/>
      <c r="F14" s="115" t="s">
        <v>863</v>
      </c>
      <c r="G14" s="115"/>
      <c r="H14" s="175"/>
    </row>
    <row r="15" spans="1:158" x14ac:dyDescent="0.35">
      <c r="A15" s="119" t="s">
        <v>91</v>
      </c>
      <c r="B15" s="116" t="s">
        <v>877</v>
      </c>
      <c r="C15" s="113" t="s">
        <v>92</v>
      </c>
      <c r="D15" s="114" t="s">
        <v>93</v>
      </c>
      <c r="E15" s="95"/>
      <c r="F15" s="115" t="s">
        <v>863</v>
      </c>
      <c r="G15" s="115"/>
      <c r="H15" s="175"/>
    </row>
    <row r="16" spans="1:158" s="137" customFormat="1" x14ac:dyDescent="0.35">
      <c r="A16" s="132" t="s">
        <v>95</v>
      </c>
      <c r="B16" s="131" t="s">
        <v>878</v>
      </c>
      <c r="C16" s="133" t="s">
        <v>96</v>
      </c>
      <c r="D16" s="138">
        <v>1102434592</v>
      </c>
      <c r="E16" s="135" t="s">
        <v>862</v>
      </c>
      <c r="F16" s="135"/>
      <c r="G16" s="135" t="s">
        <v>991</v>
      </c>
      <c r="H16" s="17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</row>
    <row r="17" spans="1:158" s="137" customFormat="1" x14ac:dyDescent="0.35">
      <c r="A17" s="132" t="s">
        <v>99</v>
      </c>
      <c r="B17" s="131" t="s">
        <v>879</v>
      </c>
      <c r="C17" s="133" t="s">
        <v>100</v>
      </c>
      <c r="D17" s="134">
        <v>1600902967</v>
      </c>
      <c r="E17" s="135" t="s">
        <v>862</v>
      </c>
      <c r="F17" s="135"/>
      <c r="G17" s="135" t="s">
        <v>991</v>
      </c>
      <c r="H17" s="17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</row>
    <row r="18" spans="1:158" s="137" customFormat="1" x14ac:dyDescent="0.35">
      <c r="A18" s="132" t="s">
        <v>103</v>
      </c>
      <c r="B18" s="131" t="s">
        <v>880</v>
      </c>
      <c r="C18" s="133" t="s">
        <v>104</v>
      </c>
      <c r="D18" s="134">
        <v>1400431563</v>
      </c>
      <c r="E18" s="135" t="s">
        <v>862</v>
      </c>
      <c r="F18" s="135"/>
      <c r="G18" s="135" t="s">
        <v>991</v>
      </c>
      <c r="H18" s="17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</row>
    <row r="19" spans="1:158" x14ac:dyDescent="0.35">
      <c r="A19" s="119" t="s">
        <v>105</v>
      </c>
      <c r="B19" s="116" t="s">
        <v>881</v>
      </c>
      <c r="C19" s="113" t="s">
        <v>106</v>
      </c>
      <c r="D19" s="114" t="s">
        <v>107</v>
      </c>
      <c r="E19" s="95"/>
      <c r="F19" s="115" t="s">
        <v>863</v>
      </c>
      <c r="G19" s="115"/>
      <c r="H19" s="175"/>
    </row>
    <row r="20" spans="1:158" s="137" customFormat="1" x14ac:dyDescent="0.35">
      <c r="A20" s="132" t="s">
        <v>108</v>
      </c>
      <c r="B20" s="131" t="s">
        <v>882</v>
      </c>
      <c r="C20" s="133" t="s">
        <v>109</v>
      </c>
      <c r="D20" s="134">
        <v>1400309090</v>
      </c>
      <c r="E20" s="135" t="s">
        <v>862</v>
      </c>
      <c r="F20" s="135"/>
      <c r="G20" s="135" t="s">
        <v>991</v>
      </c>
      <c r="H20" s="17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</row>
    <row r="21" spans="1:158" x14ac:dyDescent="0.35">
      <c r="A21" s="119" t="s">
        <v>113</v>
      </c>
      <c r="B21" s="116" t="s">
        <v>883</v>
      </c>
      <c r="C21" s="113" t="s">
        <v>114</v>
      </c>
      <c r="D21" s="114">
        <v>1401293681</v>
      </c>
      <c r="E21" s="95"/>
      <c r="F21" s="115" t="s">
        <v>863</v>
      </c>
      <c r="G21" s="115"/>
      <c r="H21" s="175"/>
    </row>
    <row r="22" spans="1:158" x14ac:dyDescent="0.35">
      <c r="A22" s="119" t="s">
        <v>118</v>
      </c>
      <c r="B22" s="116" t="s">
        <v>884</v>
      </c>
      <c r="C22" s="113" t="s">
        <v>119</v>
      </c>
      <c r="D22" s="114" t="s">
        <v>120</v>
      </c>
      <c r="E22" s="95"/>
      <c r="F22" s="115" t="s">
        <v>863</v>
      </c>
      <c r="G22" s="115"/>
      <c r="H22" s="175"/>
    </row>
    <row r="23" spans="1:158" s="137" customFormat="1" ht="15" customHeight="1" x14ac:dyDescent="0.35">
      <c r="A23" s="132" t="s">
        <v>121</v>
      </c>
      <c r="B23" s="131" t="s">
        <v>885</v>
      </c>
      <c r="C23" s="139" t="s">
        <v>122</v>
      </c>
      <c r="D23" s="134">
        <v>1801662014</v>
      </c>
      <c r="E23" s="131" t="s">
        <v>862</v>
      </c>
      <c r="F23" s="131"/>
      <c r="G23" s="131" t="s">
        <v>991</v>
      </c>
      <c r="H23" s="17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</row>
    <row r="24" spans="1:158" ht="15" customHeight="1" x14ac:dyDescent="0.35">
      <c r="A24" s="119" t="s">
        <v>123</v>
      </c>
      <c r="B24" s="116" t="s">
        <v>886</v>
      </c>
      <c r="C24" s="117" t="s">
        <v>124</v>
      </c>
      <c r="D24" s="114">
        <v>1400895148</v>
      </c>
      <c r="E24" s="95"/>
      <c r="F24" s="116" t="s">
        <v>863</v>
      </c>
      <c r="G24" s="116"/>
      <c r="H24" s="175"/>
    </row>
    <row r="25" spans="1:158" ht="15" customHeight="1" x14ac:dyDescent="0.35">
      <c r="A25" s="119" t="s">
        <v>127</v>
      </c>
      <c r="B25" s="116" t="s">
        <v>887</v>
      </c>
      <c r="C25" s="117" t="s">
        <v>128</v>
      </c>
      <c r="D25" s="114">
        <v>1400352017</v>
      </c>
      <c r="E25" s="95"/>
      <c r="F25" s="116" t="s">
        <v>863</v>
      </c>
      <c r="G25" s="116"/>
      <c r="H25" s="175"/>
    </row>
    <row r="26" spans="1:158" ht="15" customHeight="1" x14ac:dyDescent="0.35">
      <c r="A26" s="119" t="s">
        <v>129</v>
      </c>
      <c r="B26" s="116" t="s">
        <v>888</v>
      </c>
      <c r="C26" s="117" t="s">
        <v>130</v>
      </c>
      <c r="D26" s="114">
        <v>1400500938</v>
      </c>
      <c r="E26" s="95"/>
      <c r="F26" s="116" t="s">
        <v>863</v>
      </c>
      <c r="G26" s="116"/>
      <c r="H26" s="175"/>
    </row>
    <row r="27" spans="1:158" ht="15" customHeight="1" x14ac:dyDescent="0.35">
      <c r="A27" s="119" t="s">
        <v>132</v>
      </c>
      <c r="B27" s="116" t="s">
        <v>889</v>
      </c>
      <c r="C27" s="117" t="s">
        <v>133</v>
      </c>
      <c r="D27" s="114">
        <v>1400833313</v>
      </c>
      <c r="E27" s="95"/>
      <c r="F27" s="116" t="s">
        <v>863</v>
      </c>
      <c r="G27" s="116"/>
      <c r="H27" s="175"/>
    </row>
    <row r="28" spans="1:158" ht="15" customHeight="1" x14ac:dyDescent="0.35">
      <c r="A28" s="119" t="s">
        <v>136</v>
      </c>
      <c r="B28" s="116" t="s">
        <v>890</v>
      </c>
      <c r="C28" s="117" t="s">
        <v>137</v>
      </c>
      <c r="D28" s="114">
        <v>1400524730</v>
      </c>
      <c r="E28" s="95"/>
      <c r="F28" s="116" t="s">
        <v>863</v>
      </c>
      <c r="G28" s="116"/>
      <c r="H28" s="175"/>
    </row>
    <row r="29" spans="1:158" s="137" customFormat="1" ht="15" customHeight="1" x14ac:dyDescent="0.35">
      <c r="A29" s="132" t="s">
        <v>138</v>
      </c>
      <c r="B29" s="131" t="s">
        <v>891</v>
      </c>
      <c r="C29" s="139" t="s">
        <v>139</v>
      </c>
      <c r="D29" s="134">
        <v>1400682306</v>
      </c>
      <c r="E29" s="131" t="s">
        <v>862</v>
      </c>
      <c r="F29" s="131"/>
      <c r="G29" s="131" t="s">
        <v>991</v>
      </c>
      <c r="H29" s="17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</row>
    <row r="30" spans="1:158" s="137" customFormat="1" ht="15" customHeight="1" x14ac:dyDescent="0.35">
      <c r="A30" s="132" t="s">
        <v>140</v>
      </c>
      <c r="B30" s="131" t="s">
        <v>892</v>
      </c>
      <c r="C30" s="139" t="s">
        <v>141</v>
      </c>
      <c r="D30" s="134">
        <v>1400536965</v>
      </c>
      <c r="E30" s="131" t="s">
        <v>862</v>
      </c>
      <c r="F30" s="131"/>
      <c r="G30" s="131" t="s">
        <v>991</v>
      </c>
      <c r="H30" s="17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</row>
    <row r="31" spans="1:158" s="137" customFormat="1" ht="15" customHeight="1" x14ac:dyDescent="0.35">
      <c r="A31" s="132" t="s">
        <v>142</v>
      </c>
      <c r="B31" s="131" t="s">
        <v>893</v>
      </c>
      <c r="C31" s="139" t="s">
        <v>143</v>
      </c>
      <c r="D31" s="134">
        <v>1600758401</v>
      </c>
      <c r="E31" s="131" t="s">
        <v>862</v>
      </c>
      <c r="F31" s="131"/>
      <c r="G31" s="131" t="s">
        <v>991</v>
      </c>
      <c r="H31" s="17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</row>
    <row r="32" spans="1:158" ht="15" customHeight="1" x14ac:dyDescent="0.35">
      <c r="A32" s="119" t="s">
        <v>145</v>
      </c>
      <c r="B32" s="116" t="s">
        <v>894</v>
      </c>
      <c r="C32" s="117" t="s">
        <v>146</v>
      </c>
      <c r="D32" s="114">
        <v>1401474661</v>
      </c>
      <c r="E32" s="95"/>
      <c r="F32" s="116" t="s">
        <v>863</v>
      </c>
      <c r="G32" s="116"/>
      <c r="H32" s="175"/>
    </row>
    <row r="33" spans="1:158" ht="15" customHeight="1" x14ac:dyDescent="0.35">
      <c r="A33" s="119" t="s">
        <v>147</v>
      </c>
      <c r="B33" s="116" t="s">
        <v>895</v>
      </c>
      <c r="C33" s="117" t="s">
        <v>148</v>
      </c>
      <c r="D33" s="114" t="s">
        <v>149</v>
      </c>
      <c r="E33" s="95"/>
      <c r="F33" s="116" t="s">
        <v>863</v>
      </c>
      <c r="G33" s="116"/>
      <c r="H33" s="175"/>
    </row>
    <row r="34" spans="1:158" s="137" customFormat="1" ht="15" customHeight="1" x14ac:dyDescent="0.35">
      <c r="A34" s="132" t="s">
        <v>150</v>
      </c>
      <c r="B34" s="131" t="s">
        <v>896</v>
      </c>
      <c r="C34" s="139" t="s">
        <v>151</v>
      </c>
      <c r="D34" s="134">
        <v>1401002207</v>
      </c>
      <c r="E34" s="131" t="s">
        <v>862</v>
      </c>
      <c r="F34" s="131"/>
      <c r="G34" s="131" t="s">
        <v>991</v>
      </c>
      <c r="H34" s="17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</row>
    <row r="35" spans="1:158" s="137" customFormat="1" ht="15" customHeight="1" x14ac:dyDescent="0.35">
      <c r="A35" s="132" t="s">
        <v>152</v>
      </c>
      <c r="B35" s="131" t="s">
        <v>897</v>
      </c>
      <c r="C35" s="139" t="s">
        <v>153</v>
      </c>
      <c r="D35" s="134">
        <v>1400730188</v>
      </c>
      <c r="E35" s="131" t="s">
        <v>862</v>
      </c>
      <c r="F35" s="131"/>
      <c r="G35" s="131" t="s">
        <v>991</v>
      </c>
      <c r="H35" s="17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</row>
    <row r="36" spans="1:158" ht="15" customHeight="1" x14ac:dyDescent="0.35">
      <c r="A36" s="119" t="s">
        <v>154</v>
      </c>
      <c r="B36" s="116" t="s">
        <v>898</v>
      </c>
      <c r="C36" s="117" t="s">
        <v>155</v>
      </c>
      <c r="D36" s="114">
        <v>1723622567</v>
      </c>
      <c r="E36" s="95"/>
      <c r="F36" s="116" t="s">
        <v>863</v>
      </c>
      <c r="G36" s="116"/>
      <c r="H36" s="175"/>
    </row>
    <row r="37" spans="1:158" ht="15" customHeight="1" x14ac:dyDescent="0.35">
      <c r="A37" s="119" t="s">
        <v>156</v>
      </c>
      <c r="B37" s="116" t="s">
        <v>899</v>
      </c>
      <c r="C37" s="117" t="s">
        <v>157</v>
      </c>
      <c r="D37" s="114">
        <v>1400348478</v>
      </c>
      <c r="E37" s="95"/>
      <c r="F37" s="116" t="s">
        <v>863</v>
      </c>
      <c r="G37" s="116"/>
      <c r="H37" s="175"/>
    </row>
    <row r="38" spans="1:158" ht="15" customHeight="1" x14ac:dyDescent="0.35">
      <c r="A38" s="119" t="s">
        <v>158</v>
      </c>
      <c r="B38" s="116" t="s">
        <v>900</v>
      </c>
      <c r="C38" s="117" t="s">
        <v>159</v>
      </c>
      <c r="D38" s="114">
        <v>1400208938</v>
      </c>
      <c r="E38" s="95"/>
      <c r="F38" s="116" t="s">
        <v>863</v>
      </c>
      <c r="G38" s="116"/>
      <c r="H38" s="175"/>
    </row>
    <row r="39" spans="1:158" ht="15" customHeight="1" x14ac:dyDescent="0.35">
      <c r="A39" s="119" t="s">
        <v>160</v>
      </c>
      <c r="B39" s="116" t="s">
        <v>901</v>
      </c>
      <c r="C39" s="117" t="s">
        <v>161</v>
      </c>
      <c r="D39" s="114">
        <v>1400520100</v>
      </c>
      <c r="E39" s="95"/>
      <c r="F39" s="116" t="s">
        <v>863</v>
      </c>
      <c r="G39" s="116"/>
      <c r="H39" s="175"/>
    </row>
    <row r="40" spans="1:158" ht="15" customHeight="1" x14ac:dyDescent="0.35">
      <c r="A40" s="119" t="s">
        <v>163</v>
      </c>
      <c r="B40" s="116" t="s">
        <v>902</v>
      </c>
      <c r="C40" s="117" t="s">
        <v>164</v>
      </c>
      <c r="D40" s="114" t="s">
        <v>165</v>
      </c>
      <c r="E40" s="95"/>
      <c r="F40" s="116" t="s">
        <v>863</v>
      </c>
      <c r="G40" s="116"/>
      <c r="H40" s="175"/>
    </row>
    <row r="41" spans="1:158" s="137" customFormat="1" ht="15" customHeight="1" x14ac:dyDescent="0.35">
      <c r="A41" s="132" t="s">
        <v>166</v>
      </c>
      <c r="B41" s="131" t="s">
        <v>903</v>
      </c>
      <c r="C41" s="139" t="s">
        <v>167</v>
      </c>
      <c r="D41" s="134">
        <v>1600350357</v>
      </c>
      <c r="E41" s="131" t="s">
        <v>862</v>
      </c>
      <c r="F41" s="131"/>
      <c r="G41" s="131" t="s">
        <v>991</v>
      </c>
      <c r="H41" s="175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</row>
    <row r="42" spans="1:158" ht="15" customHeight="1" x14ac:dyDescent="0.35">
      <c r="A42" s="119" t="s">
        <v>169</v>
      </c>
      <c r="B42" s="116" t="s">
        <v>904</v>
      </c>
      <c r="C42" s="117" t="s">
        <v>170</v>
      </c>
      <c r="D42" s="114">
        <v>1400772891</v>
      </c>
      <c r="E42" s="95"/>
      <c r="F42" s="116" t="s">
        <v>863</v>
      </c>
      <c r="G42" s="116"/>
      <c r="H42" s="175"/>
    </row>
    <row r="43" spans="1:158" s="137" customFormat="1" ht="15" customHeight="1" x14ac:dyDescent="0.35">
      <c r="A43" s="132" t="s">
        <v>171</v>
      </c>
      <c r="B43" s="131" t="s">
        <v>905</v>
      </c>
      <c r="C43" s="139" t="s">
        <v>172</v>
      </c>
      <c r="D43" s="134">
        <v>1400444459</v>
      </c>
      <c r="E43" s="131" t="s">
        <v>862</v>
      </c>
      <c r="F43" s="131"/>
      <c r="G43" s="131" t="s">
        <v>991</v>
      </c>
      <c r="H43" s="175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</row>
    <row r="44" spans="1:158" s="137" customFormat="1" ht="15" customHeight="1" x14ac:dyDescent="0.35">
      <c r="A44" s="132" t="s">
        <v>174</v>
      </c>
      <c r="B44" s="131" t="s">
        <v>906</v>
      </c>
      <c r="C44" s="139" t="s">
        <v>175</v>
      </c>
      <c r="D44" s="134">
        <v>1400815799</v>
      </c>
      <c r="E44" s="131" t="s">
        <v>862</v>
      </c>
      <c r="F44" s="131"/>
      <c r="G44" s="131" t="s">
        <v>991</v>
      </c>
      <c r="H44" s="175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</row>
    <row r="45" spans="1:158" s="137" customFormat="1" ht="15" customHeight="1" x14ac:dyDescent="0.35">
      <c r="A45" s="132" t="s">
        <v>176</v>
      </c>
      <c r="B45" s="131" t="s">
        <v>907</v>
      </c>
      <c r="C45" s="139" t="s">
        <v>177</v>
      </c>
      <c r="D45" s="134">
        <v>1400517874</v>
      </c>
      <c r="E45" s="131" t="s">
        <v>862</v>
      </c>
      <c r="F45" s="131"/>
      <c r="G45" s="131" t="s">
        <v>991</v>
      </c>
      <c r="H45" s="17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</row>
    <row r="46" spans="1:158" ht="15" customHeight="1" x14ac:dyDescent="0.35">
      <c r="A46" s="119" t="s">
        <v>182</v>
      </c>
      <c r="B46" s="116" t="s">
        <v>908</v>
      </c>
      <c r="C46" s="117" t="s">
        <v>183</v>
      </c>
      <c r="D46" s="114">
        <v>1400197669</v>
      </c>
      <c r="E46" s="95"/>
      <c r="F46" s="116" t="s">
        <v>863</v>
      </c>
      <c r="G46" s="116"/>
      <c r="H46" s="175"/>
    </row>
    <row r="47" spans="1:158" s="137" customFormat="1" ht="15" customHeight="1" x14ac:dyDescent="0.35">
      <c r="A47" s="132" t="s">
        <v>185</v>
      </c>
      <c r="B47" s="131" t="s">
        <v>911</v>
      </c>
      <c r="C47" s="139" t="s">
        <v>186</v>
      </c>
      <c r="D47" s="134">
        <v>1400893093</v>
      </c>
      <c r="E47" s="131" t="s">
        <v>862</v>
      </c>
      <c r="F47" s="131"/>
      <c r="G47" s="131" t="s">
        <v>991</v>
      </c>
      <c r="H47" s="175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</row>
    <row r="48" spans="1:158" ht="15" customHeight="1" x14ac:dyDescent="0.35">
      <c r="A48" s="119" t="s">
        <v>187</v>
      </c>
      <c r="B48" s="116" t="s">
        <v>912</v>
      </c>
      <c r="C48" s="117" t="s">
        <v>188</v>
      </c>
      <c r="D48" s="114">
        <v>2100836671</v>
      </c>
      <c r="E48" s="116"/>
      <c r="F48" s="116" t="s">
        <v>863</v>
      </c>
      <c r="G48" s="116"/>
      <c r="H48" s="175"/>
    </row>
    <row r="49" spans="1:158" ht="15" customHeight="1" x14ac:dyDescent="0.35">
      <c r="A49" s="119" t="s">
        <v>190</v>
      </c>
      <c r="B49" s="116" t="s">
        <v>913</v>
      </c>
      <c r="C49" s="117" t="s">
        <v>191</v>
      </c>
      <c r="D49" s="114">
        <v>1400512149</v>
      </c>
      <c r="E49" s="116"/>
      <c r="F49" s="116" t="s">
        <v>863</v>
      </c>
      <c r="G49" s="116"/>
      <c r="H49" s="175"/>
    </row>
    <row r="50" spans="1:158" s="137" customFormat="1" ht="15" customHeight="1" x14ac:dyDescent="0.35">
      <c r="A50" s="132" t="s">
        <v>192</v>
      </c>
      <c r="B50" s="131" t="s">
        <v>914</v>
      </c>
      <c r="C50" s="139" t="s">
        <v>193</v>
      </c>
      <c r="D50" s="134">
        <v>1400958169</v>
      </c>
      <c r="E50" s="131" t="s">
        <v>862</v>
      </c>
      <c r="F50" s="131"/>
      <c r="G50" s="131" t="s">
        <v>991</v>
      </c>
      <c r="H50" s="175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</row>
    <row r="51" spans="1:158" ht="15" customHeight="1" x14ac:dyDescent="0.35">
      <c r="A51" s="119" t="s">
        <v>195</v>
      </c>
      <c r="B51" s="116" t="s">
        <v>915</v>
      </c>
      <c r="C51" s="117" t="s">
        <v>196</v>
      </c>
      <c r="D51" s="114">
        <v>1400469050</v>
      </c>
      <c r="E51" s="116"/>
      <c r="F51" s="116" t="s">
        <v>863</v>
      </c>
      <c r="G51" s="116"/>
      <c r="H51" s="175"/>
    </row>
    <row r="52" spans="1:158" ht="15" customHeight="1" x14ac:dyDescent="0.35">
      <c r="A52" s="119" t="s">
        <v>197</v>
      </c>
      <c r="B52" s="116" t="s">
        <v>916</v>
      </c>
      <c r="C52" s="117" t="s">
        <v>198</v>
      </c>
      <c r="D52" s="114">
        <v>1400894448</v>
      </c>
      <c r="E52" s="116"/>
      <c r="F52" s="116" t="s">
        <v>863</v>
      </c>
      <c r="G52" s="116"/>
      <c r="H52" s="175"/>
    </row>
    <row r="53" spans="1:158" ht="15" customHeight="1" x14ac:dyDescent="0.35">
      <c r="A53" s="119" t="s">
        <v>199</v>
      </c>
      <c r="B53" s="116" t="s">
        <v>917</v>
      </c>
      <c r="C53" s="117" t="s">
        <v>200</v>
      </c>
      <c r="D53" s="114">
        <v>1400408389</v>
      </c>
      <c r="E53" s="116"/>
      <c r="F53" s="116" t="s">
        <v>863</v>
      </c>
      <c r="G53" s="116"/>
      <c r="H53" s="175"/>
    </row>
    <row r="54" spans="1:158" s="137" customFormat="1" ht="15" customHeight="1" x14ac:dyDescent="0.35">
      <c r="A54" s="132" t="s">
        <v>202</v>
      </c>
      <c r="B54" s="131" t="s">
        <v>918</v>
      </c>
      <c r="C54" s="139" t="s">
        <v>203</v>
      </c>
      <c r="D54" s="134">
        <v>1600880353</v>
      </c>
      <c r="E54" s="131" t="s">
        <v>862</v>
      </c>
      <c r="F54" s="131"/>
      <c r="G54" s="131" t="s">
        <v>991</v>
      </c>
      <c r="H54" s="175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</row>
    <row r="55" spans="1:158" ht="15" customHeight="1" x14ac:dyDescent="0.35">
      <c r="A55" s="119" t="s">
        <v>204</v>
      </c>
      <c r="B55" s="116" t="s">
        <v>919</v>
      </c>
      <c r="C55" s="117" t="s">
        <v>205</v>
      </c>
      <c r="D55" s="114">
        <v>1601006271</v>
      </c>
      <c r="E55" s="116"/>
      <c r="F55" s="116" t="s">
        <v>863</v>
      </c>
      <c r="G55" s="116"/>
      <c r="H55" s="175"/>
    </row>
    <row r="56" spans="1:158" ht="15" customHeight="1" x14ac:dyDescent="0.35">
      <c r="A56" s="119" t="s">
        <v>207</v>
      </c>
      <c r="B56" s="116" t="s">
        <v>920</v>
      </c>
      <c r="C56" s="117" t="s">
        <v>208</v>
      </c>
      <c r="D56" s="114">
        <v>1400977102</v>
      </c>
      <c r="E56" s="116"/>
      <c r="F56" s="116" t="s">
        <v>863</v>
      </c>
      <c r="G56" s="116"/>
      <c r="H56" s="175"/>
    </row>
    <row r="57" spans="1:158" ht="15" customHeight="1" x14ac:dyDescent="0.35">
      <c r="A57" s="119" t="s">
        <v>210</v>
      </c>
      <c r="B57" s="116" t="s">
        <v>921</v>
      </c>
      <c r="C57" s="117" t="s">
        <v>211</v>
      </c>
      <c r="D57" s="114">
        <v>1400408645</v>
      </c>
      <c r="E57" s="116"/>
      <c r="F57" s="116" t="s">
        <v>863</v>
      </c>
      <c r="G57" s="116"/>
      <c r="H57" s="175"/>
    </row>
    <row r="58" spans="1:158" ht="15" customHeight="1" x14ac:dyDescent="0.35">
      <c r="A58" s="119" t="s">
        <v>212</v>
      </c>
      <c r="B58" s="116" t="s">
        <v>922</v>
      </c>
      <c r="C58" s="117" t="s">
        <v>213</v>
      </c>
      <c r="D58" s="114">
        <v>1450299027</v>
      </c>
      <c r="E58" s="116"/>
      <c r="F58" s="116" t="s">
        <v>863</v>
      </c>
      <c r="G58" s="116"/>
      <c r="H58" s="175"/>
    </row>
    <row r="59" spans="1:158" s="137" customFormat="1" ht="15" customHeight="1" x14ac:dyDescent="0.35">
      <c r="A59" s="132" t="s">
        <v>215</v>
      </c>
      <c r="B59" s="131" t="s">
        <v>923</v>
      </c>
      <c r="C59" s="139" t="s">
        <v>216</v>
      </c>
      <c r="D59" s="134">
        <v>1600830606</v>
      </c>
      <c r="E59" s="131" t="s">
        <v>862</v>
      </c>
      <c r="F59" s="131"/>
      <c r="G59" s="131" t="s">
        <v>991</v>
      </c>
      <c r="H59" s="175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</row>
    <row r="60" spans="1:158" ht="15" customHeight="1" thickBot="1" x14ac:dyDescent="0.4">
      <c r="A60" s="130" t="s">
        <v>218</v>
      </c>
      <c r="B60" s="125" t="s">
        <v>924</v>
      </c>
      <c r="C60" s="123" t="s">
        <v>219</v>
      </c>
      <c r="D60" s="124">
        <v>1400805709</v>
      </c>
      <c r="E60" s="125"/>
      <c r="F60" s="125" t="s">
        <v>863</v>
      </c>
      <c r="G60" s="125"/>
      <c r="H60" s="175"/>
    </row>
    <row r="61" spans="1:158" s="137" customFormat="1" ht="15" customHeight="1" x14ac:dyDescent="0.35">
      <c r="A61" s="141" t="s">
        <v>221</v>
      </c>
      <c r="B61" s="140" t="s">
        <v>925</v>
      </c>
      <c r="C61" s="142" t="s">
        <v>222</v>
      </c>
      <c r="D61" s="143" t="s">
        <v>223</v>
      </c>
      <c r="E61" s="140" t="s">
        <v>862</v>
      </c>
      <c r="F61" s="140"/>
      <c r="G61" s="140" t="s">
        <v>991</v>
      </c>
      <c r="H61" s="155" t="s">
        <v>726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</row>
    <row r="62" spans="1:158" ht="15" customHeight="1" x14ac:dyDescent="0.35">
      <c r="A62" s="119" t="s">
        <v>227</v>
      </c>
      <c r="B62" s="116" t="s">
        <v>926</v>
      </c>
      <c r="C62" s="117" t="s">
        <v>228</v>
      </c>
      <c r="D62" s="118" t="s">
        <v>229</v>
      </c>
      <c r="E62" s="116"/>
      <c r="F62" s="116" t="s">
        <v>863</v>
      </c>
      <c r="G62" s="116"/>
      <c r="H62" s="156"/>
    </row>
    <row r="63" spans="1:158" ht="15" customHeight="1" x14ac:dyDescent="0.35">
      <c r="A63" s="117" t="s">
        <v>235</v>
      </c>
      <c r="B63" s="116" t="s">
        <v>927</v>
      </c>
      <c r="C63" s="117" t="s">
        <v>236</v>
      </c>
      <c r="D63" s="120">
        <v>1400574636</v>
      </c>
      <c r="E63" s="116"/>
      <c r="F63" s="116" t="s">
        <v>863</v>
      </c>
      <c r="G63" s="116"/>
      <c r="H63" s="156"/>
    </row>
    <row r="64" spans="1:158" ht="15" customHeight="1" x14ac:dyDescent="0.35">
      <c r="A64" s="117" t="s">
        <v>238</v>
      </c>
      <c r="B64" s="116" t="s">
        <v>928</v>
      </c>
      <c r="C64" s="117" t="s">
        <v>239</v>
      </c>
      <c r="D64" s="118" t="s">
        <v>240</v>
      </c>
      <c r="E64" s="116"/>
      <c r="F64" s="116" t="s">
        <v>863</v>
      </c>
      <c r="G64" s="116"/>
      <c r="H64" s="156"/>
    </row>
    <row r="65" spans="1:158" s="137" customFormat="1" ht="15" customHeight="1" x14ac:dyDescent="0.35">
      <c r="A65" s="139" t="s">
        <v>241</v>
      </c>
      <c r="B65" s="131" t="s">
        <v>929</v>
      </c>
      <c r="C65" s="139" t="s">
        <v>242</v>
      </c>
      <c r="D65" s="144">
        <v>1400614838</v>
      </c>
      <c r="E65" s="131" t="s">
        <v>862</v>
      </c>
      <c r="F65" s="131"/>
      <c r="G65" s="131" t="s">
        <v>991</v>
      </c>
      <c r="H65" s="156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</row>
    <row r="66" spans="1:158" s="137" customFormat="1" ht="15" customHeight="1" x14ac:dyDescent="0.35">
      <c r="A66" s="139" t="s">
        <v>247</v>
      </c>
      <c r="B66" s="131" t="s">
        <v>930</v>
      </c>
      <c r="C66" s="139" t="s">
        <v>248</v>
      </c>
      <c r="D66" s="145" t="s">
        <v>249</v>
      </c>
      <c r="E66" s="131" t="s">
        <v>862</v>
      </c>
      <c r="F66" s="131"/>
      <c r="G66" s="131" t="s">
        <v>991</v>
      </c>
      <c r="H66" s="15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</row>
    <row r="67" spans="1:158" s="137" customFormat="1" ht="15" customHeight="1" x14ac:dyDescent="0.35">
      <c r="A67" s="139" t="s">
        <v>252</v>
      </c>
      <c r="B67" s="131" t="s">
        <v>931</v>
      </c>
      <c r="C67" s="139" t="s">
        <v>253</v>
      </c>
      <c r="D67" s="144">
        <v>1400985337</v>
      </c>
      <c r="E67" s="131" t="s">
        <v>862</v>
      </c>
      <c r="F67" s="131"/>
      <c r="G67" s="131" t="s">
        <v>991</v>
      </c>
      <c r="H67" s="156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</row>
    <row r="68" spans="1:158" s="137" customFormat="1" ht="15" customHeight="1" x14ac:dyDescent="0.35">
      <c r="A68" s="139" t="s">
        <v>255</v>
      </c>
      <c r="B68" s="131" t="s">
        <v>932</v>
      </c>
      <c r="C68" s="139" t="s">
        <v>256</v>
      </c>
      <c r="D68" s="145" t="s">
        <v>257</v>
      </c>
      <c r="E68" s="131" t="s">
        <v>862</v>
      </c>
      <c r="F68" s="131"/>
      <c r="G68" s="131" t="s">
        <v>991</v>
      </c>
      <c r="H68" s="156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</row>
    <row r="69" spans="1:158" ht="15" customHeight="1" x14ac:dyDescent="0.35">
      <c r="A69" s="117" t="s">
        <v>258</v>
      </c>
      <c r="B69" s="116" t="s">
        <v>933</v>
      </c>
      <c r="C69" s="117" t="s">
        <v>259</v>
      </c>
      <c r="D69" s="121" t="s">
        <v>260</v>
      </c>
      <c r="E69" s="116"/>
      <c r="F69" s="116" t="s">
        <v>863</v>
      </c>
      <c r="G69" s="116"/>
      <c r="H69" s="156"/>
    </row>
    <row r="70" spans="1:158" ht="15" customHeight="1" x14ac:dyDescent="0.35">
      <c r="A70" s="117" t="s">
        <v>264</v>
      </c>
      <c r="B70" s="116" t="s">
        <v>934</v>
      </c>
      <c r="C70" s="117" t="s">
        <v>265</v>
      </c>
      <c r="D70" s="120">
        <v>1400687370</v>
      </c>
      <c r="E70" s="116"/>
      <c r="F70" s="116" t="s">
        <v>863</v>
      </c>
      <c r="G70" s="116"/>
      <c r="H70" s="156"/>
    </row>
    <row r="71" spans="1:158" s="137" customFormat="1" ht="15" customHeight="1" x14ac:dyDescent="0.35">
      <c r="A71" s="139" t="s">
        <v>267</v>
      </c>
      <c r="B71" s="131" t="s">
        <v>935</v>
      </c>
      <c r="C71" s="139" t="s">
        <v>268</v>
      </c>
      <c r="D71" s="145" t="s">
        <v>269</v>
      </c>
      <c r="E71" s="131" t="s">
        <v>862</v>
      </c>
      <c r="F71" s="131"/>
      <c r="G71" s="131" t="s">
        <v>991</v>
      </c>
      <c r="H71" s="156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</row>
    <row r="72" spans="1:158" s="137" customFormat="1" ht="15" customHeight="1" x14ac:dyDescent="0.35">
      <c r="A72" s="139" t="s">
        <v>272</v>
      </c>
      <c r="B72" s="131" t="s">
        <v>936</v>
      </c>
      <c r="C72" s="139" t="s">
        <v>273</v>
      </c>
      <c r="D72" s="144">
        <v>1601020652</v>
      </c>
      <c r="E72" s="131" t="s">
        <v>862</v>
      </c>
      <c r="F72" s="131"/>
      <c r="G72" s="131" t="s">
        <v>991</v>
      </c>
      <c r="H72" s="156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</row>
    <row r="73" spans="1:158" s="137" customFormat="1" ht="15" customHeight="1" x14ac:dyDescent="0.35">
      <c r="A73" s="139" t="s">
        <v>275</v>
      </c>
      <c r="B73" s="131" t="s">
        <v>937</v>
      </c>
      <c r="C73" s="139" t="s">
        <v>280</v>
      </c>
      <c r="D73" s="144" t="s">
        <v>281</v>
      </c>
      <c r="E73" s="131" t="s">
        <v>862</v>
      </c>
      <c r="F73" s="131"/>
      <c r="G73" s="131" t="s">
        <v>991</v>
      </c>
      <c r="H73" s="156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</row>
    <row r="74" spans="1:158" s="137" customFormat="1" ht="15" customHeight="1" x14ac:dyDescent="0.35">
      <c r="A74" s="139" t="s">
        <v>279</v>
      </c>
      <c r="B74" s="131" t="s">
        <v>938</v>
      </c>
      <c r="C74" s="139" t="s">
        <v>285</v>
      </c>
      <c r="D74" s="144" t="s">
        <v>286</v>
      </c>
      <c r="E74" s="131" t="s">
        <v>862</v>
      </c>
      <c r="F74" s="131"/>
      <c r="G74" s="131" t="s">
        <v>991</v>
      </c>
      <c r="H74" s="156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</row>
    <row r="75" spans="1:158" ht="15" customHeight="1" x14ac:dyDescent="0.35">
      <c r="A75" s="117" t="s">
        <v>284</v>
      </c>
      <c r="B75" s="116" t="s">
        <v>939</v>
      </c>
      <c r="C75" s="117" t="s">
        <v>289</v>
      </c>
      <c r="D75" s="118" t="s">
        <v>290</v>
      </c>
      <c r="E75" s="116"/>
      <c r="F75" s="116" t="s">
        <v>863</v>
      </c>
      <c r="G75" s="116"/>
      <c r="H75" s="156"/>
    </row>
    <row r="76" spans="1:158" s="137" customFormat="1" ht="15" customHeight="1" x14ac:dyDescent="0.35">
      <c r="A76" s="139" t="s">
        <v>288</v>
      </c>
      <c r="B76" s="131" t="s">
        <v>940</v>
      </c>
      <c r="C76" s="139" t="s">
        <v>293</v>
      </c>
      <c r="D76" s="144" t="s">
        <v>294</v>
      </c>
      <c r="E76" s="131" t="s">
        <v>862</v>
      </c>
      <c r="F76" s="131"/>
      <c r="G76" s="131" t="s">
        <v>991</v>
      </c>
      <c r="H76" s="15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</row>
    <row r="77" spans="1:158" ht="15" customHeight="1" x14ac:dyDescent="0.35">
      <c r="A77" s="117" t="s">
        <v>292</v>
      </c>
      <c r="B77" s="116" t="s">
        <v>941</v>
      </c>
      <c r="C77" s="117" t="s">
        <v>296</v>
      </c>
      <c r="D77" s="120" t="s">
        <v>297</v>
      </c>
      <c r="E77" s="116"/>
      <c r="F77" s="116" t="s">
        <v>863</v>
      </c>
      <c r="G77" s="116"/>
      <c r="H77" s="156"/>
    </row>
    <row r="78" spans="1:158" ht="15" customHeight="1" x14ac:dyDescent="0.35">
      <c r="A78" s="117" t="s">
        <v>295</v>
      </c>
      <c r="B78" s="116" t="s">
        <v>942</v>
      </c>
      <c r="C78" s="117" t="s">
        <v>299</v>
      </c>
      <c r="D78" s="121" t="s">
        <v>300</v>
      </c>
      <c r="E78" s="116"/>
      <c r="F78" s="116" t="s">
        <v>863</v>
      </c>
      <c r="G78" s="116"/>
      <c r="H78" s="156"/>
    </row>
    <row r="79" spans="1:158" s="137" customFormat="1" ht="15" customHeight="1" x14ac:dyDescent="0.35">
      <c r="A79" s="139" t="s">
        <v>298</v>
      </c>
      <c r="B79" s="131" t="s">
        <v>943</v>
      </c>
      <c r="C79" s="139" t="s">
        <v>302</v>
      </c>
      <c r="D79" s="144" t="s">
        <v>303</v>
      </c>
      <c r="E79" s="131" t="s">
        <v>862</v>
      </c>
      <c r="F79" s="131"/>
      <c r="G79" s="131" t="s">
        <v>991</v>
      </c>
      <c r="H79" s="156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</row>
    <row r="80" spans="1:158" ht="15" customHeight="1" x14ac:dyDescent="0.35">
      <c r="A80" s="117" t="s">
        <v>301</v>
      </c>
      <c r="B80" s="116" t="s">
        <v>944</v>
      </c>
      <c r="C80" s="117" t="s">
        <v>305</v>
      </c>
      <c r="D80" s="121" t="s">
        <v>306</v>
      </c>
      <c r="E80" s="116"/>
      <c r="F80" s="116" t="s">
        <v>863</v>
      </c>
      <c r="G80" s="116"/>
      <c r="H80" s="156"/>
    </row>
    <row r="81" spans="1:158" s="137" customFormat="1" ht="15" customHeight="1" x14ac:dyDescent="0.35">
      <c r="A81" s="139" t="s">
        <v>304</v>
      </c>
      <c r="B81" s="131" t="s">
        <v>945</v>
      </c>
      <c r="C81" s="139" t="s">
        <v>308</v>
      </c>
      <c r="D81" s="144" t="s">
        <v>309</v>
      </c>
      <c r="E81" s="131" t="s">
        <v>862</v>
      </c>
      <c r="F81" s="131"/>
      <c r="G81" s="131" t="s">
        <v>991</v>
      </c>
      <c r="H81" s="156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</row>
    <row r="82" spans="1:158" s="137" customFormat="1" ht="15" customHeight="1" x14ac:dyDescent="0.35">
      <c r="A82" s="139" t="s">
        <v>307</v>
      </c>
      <c r="B82" s="131" t="s">
        <v>946</v>
      </c>
      <c r="C82" s="139" t="s">
        <v>311</v>
      </c>
      <c r="D82" s="144" t="s">
        <v>312</v>
      </c>
      <c r="E82" s="131" t="s">
        <v>862</v>
      </c>
      <c r="F82" s="131"/>
      <c r="G82" s="131" t="s">
        <v>991</v>
      </c>
      <c r="H82" s="156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</row>
    <row r="83" spans="1:158" ht="15" customHeight="1" x14ac:dyDescent="0.35">
      <c r="A83" s="117" t="s">
        <v>310</v>
      </c>
      <c r="B83" s="116" t="s">
        <v>947</v>
      </c>
      <c r="C83" s="117" t="s">
        <v>314</v>
      </c>
      <c r="D83" s="120">
        <v>1400968879</v>
      </c>
      <c r="E83" s="116"/>
      <c r="F83" s="116" t="s">
        <v>863</v>
      </c>
      <c r="G83" s="116"/>
      <c r="H83" s="156"/>
    </row>
    <row r="84" spans="1:158" s="137" customFormat="1" ht="15" customHeight="1" x14ac:dyDescent="0.35">
      <c r="A84" s="139" t="s">
        <v>313</v>
      </c>
      <c r="B84" s="131" t="s">
        <v>948</v>
      </c>
      <c r="C84" s="139" t="s">
        <v>316</v>
      </c>
      <c r="D84" s="144" t="s">
        <v>317</v>
      </c>
      <c r="E84" s="131" t="s">
        <v>862</v>
      </c>
      <c r="F84" s="131"/>
      <c r="G84" s="131" t="s">
        <v>991</v>
      </c>
      <c r="H84" s="156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</row>
    <row r="85" spans="1:158" s="137" customFormat="1" ht="15" customHeight="1" x14ac:dyDescent="0.35">
      <c r="A85" s="139" t="s">
        <v>315</v>
      </c>
      <c r="B85" s="131" t="s">
        <v>949</v>
      </c>
      <c r="C85" s="139" t="s">
        <v>319</v>
      </c>
      <c r="D85" s="144" t="s">
        <v>320</v>
      </c>
      <c r="E85" s="131" t="s">
        <v>862</v>
      </c>
      <c r="F85" s="131"/>
      <c r="G85" s="131" t="s">
        <v>991</v>
      </c>
      <c r="H85" s="156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</row>
    <row r="86" spans="1:158" ht="15" customHeight="1" x14ac:dyDescent="0.35">
      <c r="A86" s="117" t="s">
        <v>318</v>
      </c>
      <c r="B86" s="116" t="s">
        <v>950</v>
      </c>
      <c r="C86" s="117" t="s">
        <v>322</v>
      </c>
      <c r="D86" s="122">
        <v>1400702070</v>
      </c>
      <c r="E86" s="116"/>
      <c r="F86" s="116" t="s">
        <v>863</v>
      </c>
      <c r="G86" s="116"/>
      <c r="H86" s="156"/>
    </row>
    <row r="87" spans="1:158" ht="15" customHeight="1" x14ac:dyDescent="0.35">
      <c r="A87" s="117" t="s">
        <v>321</v>
      </c>
      <c r="B87" s="116" t="s">
        <v>951</v>
      </c>
      <c r="C87" s="117" t="s">
        <v>324</v>
      </c>
      <c r="D87" s="118">
        <v>1400965602</v>
      </c>
      <c r="E87" s="116"/>
      <c r="F87" s="116" t="s">
        <v>863</v>
      </c>
      <c r="G87" s="116"/>
      <c r="H87" s="156"/>
    </row>
    <row r="88" spans="1:158" ht="15" customHeight="1" x14ac:dyDescent="0.35">
      <c r="A88" s="117" t="s">
        <v>323</v>
      </c>
      <c r="B88" s="116" t="s">
        <v>952</v>
      </c>
      <c r="C88" s="117" t="s">
        <v>326</v>
      </c>
      <c r="D88" s="118" t="s">
        <v>327</v>
      </c>
      <c r="E88" s="116"/>
      <c r="F88" s="116" t="s">
        <v>863</v>
      </c>
      <c r="G88" s="116"/>
      <c r="H88" s="156"/>
    </row>
    <row r="89" spans="1:158" ht="15" customHeight="1" x14ac:dyDescent="0.35">
      <c r="A89" s="117" t="s">
        <v>325</v>
      </c>
      <c r="B89" s="116" t="s">
        <v>953</v>
      </c>
      <c r="C89" s="117" t="s">
        <v>329</v>
      </c>
      <c r="D89" s="121" t="s">
        <v>330</v>
      </c>
      <c r="E89" s="116"/>
      <c r="F89" s="116" t="s">
        <v>863</v>
      </c>
      <c r="G89" s="116"/>
      <c r="H89" s="156"/>
    </row>
    <row r="90" spans="1:158" s="137" customFormat="1" ht="15" customHeight="1" x14ac:dyDescent="0.35">
      <c r="A90" s="139" t="s">
        <v>328</v>
      </c>
      <c r="B90" s="131" t="s">
        <v>954</v>
      </c>
      <c r="C90" s="139" t="s">
        <v>332</v>
      </c>
      <c r="D90" s="146" t="s">
        <v>333</v>
      </c>
      <c r="E90" s="131" t="s">
        <v>862</v>
      </c>
      <c r="F90" s="131"/>
      <c r="G90" s="131" t="s">
        <v>991</v>
      </c>
      <c r="H90" s="156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</row>
    <row r="91" spans="1:158" s="137" customFormat="1" ht="15" customHeight="1" x14ac:dyDescent="0.35">
      <c r="A91" s="139" t="s">
        <v>331</v>
      </c>
      <c r="B91" s="131" t="s">
        <v>955</v>
      </c>
      <c r="C91" s="139" t="s">
        <v>335</v>
      </c>
      <c r="D91" s="146" t="s">
        <v>336</v>
      </c>
      <c r="E91" s="131" t="s">
        <v>862</v>
      </c>
      <c r="F91" s="131"/>
      <c r="G91" s="131" t="s">
        <v>991</v>
      </c>
      <c r="H91" s="156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</row>
    <row r="92" spans="1:158" s="137" customFormat="1" ht="15" customHeight="1" x14ac:dyDescent="0.35">
      <c r="A92" s="139" t="s">
        <v>334</v>
      </c>
      <c r="B92" s="131" t="s">
        <v>958</v>
      </c>
      <c r="C92" s="139" t="s">
        <v>338</v>
      </c>
      <c r="D92" s="147">
        <v>1400831515</v>
      </c>
      <c r="E92" s="131" t="s">
        <v>862</v>
      </c>
      <c r="F92" s="131"/>
      <c r="G92" s="131" t="s">
        <v>991</v>
      </c>
      <c r="H92" s="156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</row>
    <row r="93" spans="1:158" s="137" customFormat="1" ht="15" customHeight="1" x14ac:dyDescent="0.35">
      <c r="A93" s="139" t="s">
        <v>337</v>
      </c>
      <c r="B93" s="131" t="s">
        <v>959</v>
      </c>
      <c r="C93" s="139" t="s">
        <v>340</v>
      </c>
      <c r="D93" s="144" t="s">
        <v>341</v>
      </c>
      <c r="E93" s="131" t="s">
        <v>862</v>
      </c>
      <c r="F93" s="131"/>
      <c r="G93" s="131" t="s">
        <v>991</v>
      </c>
      <c r="H93" s="156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</row>
    <row r="94" spans="1:158" s="137" customFormat="1" ht="15" customHeight="1" x14ac:dyDescent="0.35">
      <c r="A94" s="139" t="s">
        <v>339</v>
      </c>
      <c r="B94" s="131" t="s">
        <v>960</v>
      </c>
      <c r="C94" s="139" t="s">
        <v>343</v>
      </c>
      <c r="D94" s="144" t="s">
        <v>344</v>
      </c>
      <c r="E94" s="131" t="s">
        <v>862</v>
      </c>
      <c r="F94" s="131"/>
      <c r="G94" s="131" t="s">
        <v>991</v>
      </c>
      <c r="H94" s="156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</row>
    <row r="95" spans="1:158" s="137" customFormat="1" ht="15" customHeight="1" x14ac:dyDescent="0.35">
      <c r="A95" s="139" t="s">
        <v>342</v>
      </c>
      <c r="B95" s="131" t="s">
        <v>961</v>
      </c>
      <c r="C95" s="139" t="s">
        <v>346</v>
      </c>
      <c r="D95" s="144">
        <v>1401301955</v>
      </c>
      <c r="E95" s="131" t="s">
        <v>862</v>
      </c>
      <c r="F95" s="131"/>
      <c r="G95" s="131" t="s">
        <v>991</v>
      </c>
      <c r="H95" s="156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</row>
    <row r="96" spans="1:158" s="137" customFormat="1" ht="15" customHeight="1" x14ac:dyDescent="0.35">
      <c r="A96" s="139" t="s">
        <v>345</v>
      </c>
      <c r="B96" s="131" t="s">
        <v>962</v>
      </c>
      <c r="C96" s="139" t="s">
        <v>348</v>
      </c>
      <c r="D96" s="144">
        <v>1400357982</v>
      </c>
      <c r="E96" s="131" t="s">
        <v>862</v>
      </c>
      <c r="F96" s="131"/>
      <c r="G96" s="131" t="s">
        <v>991</v>
      </c>
      <c r="H96" s="15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</row>
    <row r="97" spans="1:158" ht="15" customHeight="1" x14ac:dyDescent="0.35">
      <c r="A97" s="117" t="s">
        <v>347</v>
      </c>
      <c r="B97" s="116" t="s">
        <v>963</v>
      </c>
      <c r="C97" s="117" t="s">
        <v>350</v>
      </c>
      <c r="D97" s="118" t="s">
        <v>351</v>
      </c>
      <c r="E97" s="116"/>
      <c r="F97" s="116" t="s">
        <v>863</v>
      </c>
      <c r="G97" s="116"/>
      <c r="H97" s="156"/>
    </row>
    <row r="98" spans="1:158" ht="15" customHeight="1" x14ac:dyDescent="0.35">
      <c r="A98" s="117" t="s">
        <v>349</v>
      </c>
      <c r="B98" s="116" t="s">
        <v>964</v>
      </c>
      <c r="C98" s="117" t="s">
        <v>353</v>
      </c>
      <c r="D98" s="118" t="s">
        <v>354</v>
      </c>
      <c r="E98" s="116"/>
      <c r="F98" s="116" t="s">
        <v>863</v>
      </c>
      <c r="G98" s="116"/>
      <c r="H98" s="156"/>
    </row>
    <row r="99" spans="1:158" ht="15" customHeight="1" x14ac:dyDescent="0.35">
      <c r="A99" s="117" t="s">
        <v>352</v>
      </c>
      <c r="B99" s="116" t="s">
        <v>965</v>
      </c>
      <c r="C99" s="117" t="s">
        <v>356</v>
      </c>
      <c r="D99" s="120">
        <v>1400194450</v>
      </c>
      <c r="E99" s="116"/>
      <c r="F99" s="116" t="s">
        <v>863</v>
      </c>
      <c r="G99" s="116"/>
      <c r="H99" s="156"/>
    </row>
    <row r="100" spans="1:158" ht="15" customHeight="1" x14ac:dyDescent="0.35">
      <c r="A100" s="117" t="s">
        <v>355</v>
      </c>
      <c r="B100" s="116" t="s">
        <v>966</v>
      </c>
      <c r="C100" s="117" t="s">
        <v>358</v>
      </c>
      <c r="D100" s="118">
        <v>1400503593</v>
      </c>
      <c r="E100" s="116"/>
      <c r="F100" s="116" t="s">
        <v>863</v>
      </c>
      <c r="G100" s="116"/>
      <c r="H100" s="156"/>
    </row>
    <row r="101" spans="1:158" s="137" customFormat="1" ht="15" customHeight="1" x14ac:dyDescent="0.35">
      <c r="A101" s="139" t="s">
        <v>357</v>
      </c>
      <c r="B101" s="131" t="s">
        <v>967</v>
      </c>
      <c r="C101" s="139" t="s">
        <v>360</v>
      </c>
      <c r="D101" s="144">
        <v>1202866727</v>
      </c>
      <c r="E101" s="131" t="s">
        <v>862</v>
      </c>
      <c r="F101" s="131"/>
      <c r="G101" s="131" t="s">
        <v>991</v>
      </c>
      <c r="H101" s="156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</row>
    <row r="102" spans="1:158" s="137" customFormat="1" ht="15" customHeight="1" x14ac:dyDescent="0.35">
      <c r="A102" s="139" t="s">
        <v>359</v>
      </c>
      <c r="B102" s="131" t="s">
        <v>968</v>
      </c>
      <c r="C102" s="139" t="s">
        <v>362</v>
      </c>
      <c r="D102" s="145" t="s">
        <v>363</v>
      </c>
      <c r="E102" s="131" t="s">
        <v>862</v>
      </c>
      <c r="F102" s="131"/>
      <c r="G102" s="131" t="s">
        <v>991</v>
      </c>
      <c r="H102" s="156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</row>
    <row r="103" spans="1:158" s="137" customFormat="1" ht="15" customHeight="1" x14ac:dyDescent="0.35">
      <c r="A103" s="139" t="s">
        <v>361</v>
      </c>
      <c r="B103" s="131" t="s">
        <v>969</v>
      </c>
      <c r="C103" s="139" t="s">
        <v>365</v>
      </c>
      <c r="D103" s="145" t="s">
        <v>366</v>
      </c>
      <c r="E103" s="131" t="s">
        <v>862</v>
      </c>
      <c r="F103" s="131"/>
      <c r="G103" s="131" t="s">
        <v>991</v>
      </c>
      <c r="H103" s="156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</row>
    <row r="104" spans="1:158" ht="15" customHeight="1" x14ac:dyDescent="0.35">
      <c r="A104" s="117" t="s">
        <v>364</v>
      </c>
      <c r="B104" s="116" t="s">
        <v>970</v>
      </c>
      <c r="C104" s="117" t="s">
        <v>368</v>
      </c>
      <c r="D104" s="120">
        <v>1400541338</v>
      </c>
      <c r="E104" s="116"/>
      <c r="F104" s="116" t="s">
        <v>863</v>
      </c>
      <c r="G104" s="116"/>
      <c r="H104" s="156"/>
    </row>
    <row r="105" spans="1:158" ht="15" customHeight="1" x14ac:dyDescent="0.35">
      <c r="A105" s="117" t="s">
        <v>367</v>
      </c>
      <c r="B105" s="116" t="s">
        <v>971</v>
      </c>
      <c r="C105" s="117" t="s">
        <v>370</v>
      </c>
      <c r="D105" s="120">
        <v>1400484042</v>
      </c>
      <c r="E105" s="116"/>
      <c r="F105" s="116" t="s">
        <v>863</v>
      </c>
      <c r="G105" s="116"/>
      <c r="H105" s="156"/>
    </row>
    <row r="106" spans="1:158" ht="15" customHeight="1" x14ac:dyDescent="0.35">
      <c r="A106" s="117" t="s">
        <v>369</v>
      </c>
      <c r="B106" s="116" t="s">
        <v>972</v>
      </c>
      <c r="C106" s="117" t="s">
        <v>372</v>
      </c>
      <c r="D106" s="118">
        <v>1400421374</v>
      </c>
      <c r="E106" s="116"/>
      <c r="F106" s="116" t="s">
        <v>863</v>
      </c>
      <c r="G106" s="116"/>
      <c r="H106" s="156"/>
    </row>
    <row r="107" spans="1:158" s="137" customFormat="1" ht="15" customHeight="1" x14ac:dyDescent="0.35">
      <c r="A107" s="139" t="s">
        <v>371</v>
      </c>
      <c r="B107" s="131" t="s">
        <v>973</v>
      </c>
      <c r="C107" s="139" t="s">
        <v>374</v>
      </c>
      <c r="D107" s="145">
        <v>1400673297</v>
      </c>
      <c r="E107" s="131" t="s">
        <v>862</v>
      </c>
      <c r="F107" s="131"/>
      <c r="G107" s="131" t="s">
        <v>991</v>
      </c>
      <c r="H107" s="156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</row>
    <row r="108" spans="1:158" ht="15" customHeight="1" x14ac:dyDescent="0.35">
      <c r="A108" s="117" t="s">
        <v>373</v>
      </c>
      <c r="B108" s="116" t="s">
        <v>974</v>
      </c>
      <c r="C108" s="117" t="s">
        <v>376</v>
      </c>
      <c r="D108" s="118">
        <v>1401223555</v>
      </c>
      <c r="E108" s="116"/>
      <c r="F108" s="116" t="s">
        <v>863</v>
      </c>
      <c r="G108" s="116"/>
      <c r="H108" s="156"/>
    </row>
    <row r="109" spans="1:158" s="137" customFormat="1" ht="15" customHeight="1" x14ac:dyDescent="0.35">
      <c r="A109" s="139" t="s">
        <v>375</v>
      </c>
      <c r="B109" s="131" t="s">
        <v>975</v>
      </c>
      <c r="C109" s="139" t="s">
        <v>378</v>
      </c>
      <c r="D109" s="144">
        <v>1715851794</v>
      </c>
      <c r="E109" s="131" t="s">
        <v>862</v>
      </c>
      <c r="F109" s="131"/>
      <c r="G109" s="131" t="s">
        <v>991</v>
      </c>
      <c r="H109" s="156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</row>
    <row r="110" spans="1:158" ht="15" customHeight="1" x14ac:dyDescent="0.35">
      <c r="A110" s="117" t="s">
        <v>377</v>
      </c>
      <c r="B110" s="116" t="s">
        <v>976</v>
      </c>
      <c r="C110" s="117" t="s">
        <v>380</v>
      </c>
      <c r="D110" s="118">
        <v>1400717086</v>
      </c>
      <c r="E110" s="116"/>
      <c r="F110" s="116" t="s">
        <v>863</v>
      </c>
      <c r="G110" s="116"/>
      <c r="H110" s="156"/>
    </row>
    <row r="111" spans="1:158" s="137" customFormat="1" ht="15" customHeight="1" x14ac:dyDescent="0.35">
      <c r="A111" s="139" t="s">
        <v>379</v>
      </c>
      <c r="B111" s="131" t="s">
        <v>977</v>
      </c>
      <c r="C111" s="139" t="s">
        <v>382</v>
      </c>
      <c r="D111" s="145" t="s">
        <v>383</v>
      </c>
      <c r="E111" s="131" t="s">
        <v>862</v>
      </c>
      <c r="F111" s="131"/>
      <c r="G111" s="131" t="s">
        <v>991</v>
      </c>
      <c r="H111" s="156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</row>
    <row r="112" spans="1:158" ht="15" customHeight="1" x14ac:dyDescent="0.35">
      <c r="A112" s="117" t="s">
        <v>381</v>
      </c>
      <c r="B112" s="116" t="s">
        <v>978</v>
      </c>
      <c r="C112" s="117" t="s">
        <v>385</v>
      </c>
      <c r="D112" s="118">
        <v>1400733927</v>
      </c>
      <c r="E112" s="116"/>
      <c r="F112" s="116" t="s">
        <v>863</v>
      </c>
      <c r="G112" s="116"/>
      <c r="H112" s="156"/>
    </row>
    <row r="113" spans="1:158" s="137" customFormat="1" ht="15" customHeight="1" x14ac:dyDescent="0.35">
      <c r="A113" s="139" t="s">
        <v>384</v>
      </c>
      <c r="B113" s="131" t="s">
        <v>979</v>
      </c>
      <c r="C113" s="139" t="s">
        <v>387</v>
      </c>
      <c r="D113" s="145">
        <v>1400320600</v>
      </c>
      <c r="E113" s="131" t="s">
        <v>862</v>
      </c>
      <c r="F113" s="131"/>
      <c r="G113" s="131" t="s">
        <v>991</v>
      </c>
      <c r="H113" s="156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</row>
    <row r="114" spans="1:158" s="137" customFormat="1" ht="15" customHeight="1" x14ac:dyDescent="0.35">
      <c r="A114" s="139" t="s">
        <v>386</v>
      </c>
      <c r="B114" s="131" t="s">
        <v>980</v>
      </c>
      <c r="C114" s="139" t="s">
        <v>389</v>
      </c>
      <c r="D114" s="144">
        <v>1401229222</v>
      </c>
      <c r="E114" s="131" t="s">
        <v>862</v>
      </c>
      <c r="F114" s="131"/>
      <c r="G114" s="131" t="s">
        <v>991</v>
      </c>
      <c r="H114" s="156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</row>
    <row r="115" spans="1:158" s="137" customFormat="1" ht="15" customHeight="1" x14ac:dyDescent="0.35">
      <c r="A115" s="139" t="s">
        <v>388</v>
      </c>
      <c r="B115" s="131" t="s">
        <v>981</v>
      </c>
      <c r="C115" s="139" t="s">
        <v>391</v>
      </c>
      <c r="D115" s="145">
        <v>1400773865</v>
      </c>
      <c r="E115" s="131" t="s">
        <v>862</v>
      </c>
      <c r="F115" s="131"/>
      <c r="G115" s="131" t="s">
        <v>991</v>
      </c>
      <c r="H115" s="156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</row>
    <row r="116" spans="1:158" ht="15" customHeight="1" x14ac:dyDescent="0.35">
      <c r="A116" s="117" t="s">
        <v>390</v>
      </c>
      <c r="B116" s="116" t="s">
        <v>982</v>
      </c>
      <c r="C116" s="117" t="s">
        <v>393</v>
      </c>
      <c r="D116" s="118">
        <v>1400275416</v>
      </c>
      <c r="E116" s="116"/>
      <c r="F116" s="116" t="s">
        <v>863</v>
      </c>
      <c r="G116" s="116"/>
      <c r="H116" s="156"/>
    </row>
    <row r="117" spans="1:158" ht="15" customHeight="1" x14ac:dyDescent="0.35">
      <c r="A117" s="117" t="s">
        <v>392</v>
      </c>
      <c r="B117" s="116" t="s">
        <v>983</v>
      </c>
      <c r="C117" s="117" t="s">
        <v>395</v>
      </c>
      <c r="D117" s="118">
        <v>1400468722</v>
      </c>
      <c r="E117" s="116"/>
      <c r="F117" s="116" t="s">
        <v>863</v>
      </c>
      <c r="G117" s="116"/>
      <c r="H117" s="156"/>
    </row>
    <row r="118" spans="1:158" ht="15" customHeight="1" x14ac:dyDescent="0.35">
      <c r="A118" s="117" t="s">
        <v>394</v>
      </c>
      <c r="B118" s="116" t="s">
        <v>984</v>
      </c>
      <c r="C118" s="117" t="s">
        <v>396</v>
      </c>
      <c r="D118" s="118">
        <v>2100232871</v>
      </c>
      <c r="E118" s="116"/>
      <c r="F118" s="116" t="s">
        <v>863</v>
      </c>
      <c r="G118" s="116"/>
      <c r="H118" s="156"/>
    </row>
    <row r="119" spans="1:158" ht="15" customHeight="1" x14ac:dyDescent="0.35">
      <c r="A119" s="117" t="s">
        <v>956</v>
      </c>
      <c r="B119" s="116"/>
      <c r="C119" s="117" t="s">
        <v>276</v>
      </c>
      <c r="D119" s="122">
        <v>1718736919</v>
      </c>
      <c r="E119" s="95"/>
      <c r="F119" s="95"/>
      <c r="G119" s="116" t="s">
        <v>988</v>
      </c>
      <c r="H119" s="176"/>
    </row>
    <row r="120" spans="1:158" ht="33.75" customHeight="1" x14ac:dyDescent="0.35">
      <c r="A120" s="177" t="s">
        <v>985</v>
      </c>
      <c r="B120" s="178"/>
      <c r="C120" s="178"/>
      <c r="D120" s="179"/>
      <c r="E120" s="127" t="s">
        <v>992</v>
      </c>
      <c r="F120" s="128" t="s">
        <v>993</v>
      </c>
      <c r="G120" s="127" t="s">
        <v>987</v>
      </c>
      <c r="H120" s="95"/>
    </row>
  </sheetData>
  <autoFilter ref="B1:H118" xr:uid="{73791224-D2D5-4B96-97C6-9CCA841735D7}"/>
  <mergeCells count="3">
    <mergeCell ref="H2:H60"/>
    <mergeCell ref="H61:H119"/>
    <mergeCell ref="A120:D120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E7EB-17CF-42EE-A291-DAA7E318D19B}">
  <dimension ref="A1:BU55"/>
  <sheetViews>
    <sheetView zoomScale="145" zoomScaleNormal="145" workbookViewId="0">
      <pane xSplit="4" ySplit="2" topLeftCell="BF41" activePane="bottomRight" state="frozen"/>
      <selection pane="topRight" activeCell="E1" sqref="E1"/>
      <selection pane="bottomLeft" activeCell="A3" sqref="A3"/>
      <selection pane="bottomRight" activeCell="C61" sqref="C61"/>
    </sheetView>
  </sheetViews>
  <sheetFormatPr baseColWidth="10" defaultRowHeight="14.5" x14ac:dyDescent="0.35"/>
  <cols>
    <col min="1" max="1" width="5.54296875" customWidth="1"/>
    <col min="3" max="3" width="34.1796875" customWidth="1"/>
    <col min="5" max="8" width="0" hidden="1" customWidth="1"/>
    <col min="9" max="9" width="30.1796875" hidden="1" customWidth="1"/>
    <col min="10" max="12" width="0" hidden="1" customWidth="1"/>
    <col min="13" max="13" width="29.453125" customWidth="1"/>
    <col min="16" max="16" width="69" hidden="1" customWidth="1"/>
    <col min="17" max="17" width="46.1796875" hidden="1" customWidth="1"/>
    <col min="18" max="20" width="0" hidden="1" customWidth="1"/>
    <col min="21" max="21" width="26.26953125" hidden="1" customWidth="1"/>
    <col min="22" max="26" width="0" hidden="1" customWidth="1"/>
    <col min="27" max="27" width="47.7265625" hidden="1" customWidth="1"/>
    <col min="28" max="28" width="35.1796875" hidden="1" customWidth="1"/>
    <col min="29" max="29" width="28.1796875" hidden="1" customWidth="1"/>
    <col min="30" max="30" width="0" hidden="1" customWidth="1"/>
    <col min="31" max="31" width="59.81640625" hidden="1" customWidth="1"/>
    <col min="32" max="32" width="20.54296875" hidden="1" customWidth="1"/>
    <col min="33" max="33" width="15" hidden="1" customWidth="1"/>
    <col min="34" max="34" width="0" hidden="1" customWidth="1"/>
    <col min="35" max="35" width="41.1796875" hidden="1" customWidth="1"/>
    <col min="36" max="37" width="0" hidden="1" customWidth="1"/>
    <col min="38" max="38" width="42.54296875" hidden="1" customWidth="1"/>
    <col min="39" max="41" width="0" hidden="1" customWidth="1"/>
    <col min="42" max="42" width="47.1796875" hidden="1" customWidth="1"/>
    <col min="43" max="47" width="0" hidden="1" customWidth="1"/>
    <col min="52" max="53" width="0" hidden="1" customWidth="1"/>
    <col min="54" max="54" width="20.7265625" hidden="1" customWidth="1"/>
    <col min="55" max="55" width="44.26953125" hidden="1" customWidth="1"/>
  </cols>
  <sheetData>
    <row r="1" spans="1:73" x14ac:dyDescent="0.35">
      <c r="A1" s="1"/>
      <c r="B1" s="2"/>
      <c r="C1" s="2" t="s">
        <v>638</v>
      </c>
      <c r="D1" s="3"/>
      <c r="E1" s="4"/>
      <c r="F1" s="5" t="s">
        <v>1</v>
      </c>
      <c r="G1" s="4"/>
      <c r="H1" s="1"/>
      <c r="I1" s="1"/>
      <c r="J1" s="1"/>
      <c r="K1" s="1"/>
      <c r="L1" s="1"/>
      <c r="M1" s="2"/>
      <c r="N1" s="6"/>
      <c r="O1" s="6"/>
      <c r="P1" s="183" t="s">
        <v>2</v>
      </c>
      <c r="Q1" s="183"/>
      <c r="R1" s="167"/>
      <c r="S1" s="167"/>
      <c r="T1" s="167"/>
      <c r="U1" s="167"/>
      <c r="V1" s="166" t="s">
        <v>3</v>
      </c>
      <c r="W1" s="167"/>
      <c r="X1" s="167"/>
      <c r="Y1" s="167"/>
      <c r="Z1" s="167"/>
      <c r="AA1" s="172" t="s">
        <v>501</v>
      </c>
      <c r="AB1" s="172"/>
      <c r="AC1" s="172"/>
      <c r="AD1" s="172"/>
      <c r="AE1" s="184" t="s">
        <v>624</v>
      </c>
      <c r="AF1" s="184"/>
      <c r="AG1" s="184"/>
      <c r="AH1" s="184"/>
      <c r="AI1" s="168" t="s">
        <v>4</v>
      </c>
      <c r="AJ1" s="167"/>
      <c r="AK1" s="167"/>
      <c r="AL1" s="167"/>
      <c r="AM1" s="182" t="s">
        <v>5</v>
      </c>
      <c r="AN1" s="167"/>
      <c r="AO1" s="167"/>
      <c r="AP1" s="167"/>
      <c r="AQ1" s="185" t="s">
        <v>6</v>
      </c>
      <c r="AR1" s="159"/>
      <c r="AS1" s="159"/>
      <c r="AT1" s="159"/>
      <c r="AU1" s="7"/>
      <c r="AV1" s="158"/>
      <c r="AW1" s="159"/>
      <c r="AX1" s="159"/>
      <c r="AY1" s="167"/>
      <c r="AZ1" s="91" t="s">
        <v>7</v>
      </c>
      <c r="BA1" s="89"/>
      <c r="BB1" s="89"/>
      <c r="BC1" s="89"/>
      <c r="BD1" s="89"/>
      <c r="BE1" s="4"/>
      <c r="BF1" s="4"/>
      <c r="BG1" s="4"/>
      <c r="BH1" s="4"/>
    </row>
    <row r="2" spans="1:73" ht="31.5" x14ac:dyDescent="0.35">
      <c r="A2" s="8" t="s">
        <v>631</v>
      </c>
      <c r="B2" s="22" t="s">
        <v>8</v>
      </c>
      <c r="C2" s="23" t="s">
        <v>9</v>
      </c>
      <c r="D2" s="24" t="s">
        <v>10</v>
      </c>
      <c r="E2" s="24" t="s">
        <v>11</v>
      </c>
      <c r="F2" s="25" t="s">
        <v>12</v>
      </c>
      <c r="G2" s="23" t="s">
        <v>13</v>
      </c>
      <c r="H2" s="26" t="s">
        <v>14</v>
      </c>
      <c r="I2" s="26" t="s">
        <v>15</v>
      </c>
      <c r="J2" s="26" t="s">
        <v>16</v>
      </c>
      <c r="K2" s="26" t="s">
        <v>17</v>
      </c>
      <c r="L2" s="26" t="s">
        <v>18</v>
      </c>
      <c r="M2" s="24" t="s">
        <v>19</v>
      </c>
      <c r="N2" s="24" t="s">
        <v>20</v>
      </c>
      <c r="O2" s="24" t="s">
        <v>21</v>
      </c>
      <c r="P2" s="25" t="s">
        <v>22</v>
      </c>
      <c r="Q2" s="25" t="s">
        <v>500</v>
      </c>
      <c r="R2" s="25" t="s">
        <v>23</v>
      </c>
      <c r="S2" s="25" t="s">
        <v>24</v>
      </c>
      <c r="T2" s="23" t="s">
        <v>25</v>
      </c>
      <c r="U2" s="23" t="s">
        <v>26</v>
      </c>
      <c r="V2" s="25" t="s">
        <v>22</v>
      </c>
      <c r="W2" s="25" t="s">
        <v>23</v>
      </c>
      <c r="X2" s="25" t="s">
        <v>24</v>
      </c>
      <c r="Y2" s="23" t="s">
        <v>25</v>
      </c>
      <c r="Z2" s="23" t="s">
        <v>26</v>
      </c>
      <c r="AA2" s="57" t="s">
        <v>502</v>
      </c>
      <c r="AB2" s="57" t="s">
        <v>503</v>
      </c>
      <c r="AC2" s="57" t="s">
        <v>504</v>
      </c>
      <c r="AD2" s="57" t="s">
        <v>505</v>
      </c>
      <c r="AE2" s="57" t="s">
        <v>625</v>
      </c>
      <c r="AF2" s="57" t="s">
        <v>28</v>
      </c>
      <c r="AG2" s="57" t="s">
        <v>29</v>
      </c>
      <c r="AH2" s="57" t="s">
        <v>30</v>
      </c>
      <c r="AI2" s="57" t="s">
        <v>27</v>
      </c>
      <c r="AJ2" s="57" t="s">
        <v>28</v>
      </c>
      <c r="AK2" s="57" t="s">
        <v>29</v>
      </c>
      <c r="AL2" s="57" t="s">
        <v>30</v>
      </c>
      <c r="AM2" s="23" t="s">
        <v>27</v>
      </c>
      <c r="AN2" s="23" t="s">
        <v>28</v>
      </c>
      <c r="AO2" s="23" t="s">
        <v>29</v>
      </c>
      <c r="AP2" s="39" t="s">
        <v>30</v>
      </c>
      <c r="AQ2" s="23" t="s">
        <v>27</v>
      </c>
      <c r="AR2" s="23" t="s">
        <v>28</v>
      </c>
      <c r="AS2" s="23" t="s">
        <v>29</v>
      </c>
      <c r="AT2" s="23" t="s">
        <v>30</v>
      </c>
      <c r="AU2" s="27" t="s">
        <v>31</v>
      </c>
      <c r="AV2" s="28" t="s">
        <v>32</v>
      </c>
      <c r="AW2" s="28" t="s">
        <v>33</v>
      </c>
      <c r="AX2" s="28" t="s">
        <v>34</v>
      </c>
      <c r="AY2" s="28" t="s">
        <v>35</v>
      </c>
      <c r="AZ2" s="29" t="s">
        <v>36</v>
      </c>
      <c r="BA2" s="29" t="s">
        <v>37</v>
      </c>
      <c r="BB2" s="29" t="s">
        <v>29</v>
      </c>
      <c r="BC2" s="29" t="s">
        <v>18</v>
      </c>
      <c r="BD2" s="30" t="s">
        <v>38</v>
      </c>
      <c r="BE2" s="23" t="s">
        <v>10</v>
      </c>
      <c r="BF2" s="25" t="s">
        <v>39</v>
      </c>
      <c r="BG2" s="31" t="s">
        <v>40</v>
      </c>
      <c r="BH2" s="32" t="s">
        <v>41</v>
      </c>
    </row>
    <row r="3" spans="1:73" ht="15" customHeight="1" x14ac:dyDescent="0.35">
      <c r="A3" s="4"/>
      <c r="B3" s="60" t="s">
        <v>42</v>
      </c>
      <c r="C3" s="2" t="s">
        <v>43</v>
      </c>
      <c r="D3" s="10" t="s">
        <v>628</v>
      </c>
      <c r="E3" s="4" t="s">
        <v>639</v>
      </c>
      <c r="F3" s="5">
        <v>33105</v>
      </c>
      <c r="G3" s="4">
        <f>2026-1990</f>
        <v>36</v>
      </c>
      <c r="H3" s="2" t="s">
        <v>399</v>
      </c>
      <c r="I3" s="2" t="s">
        <v>44</v>
      </c>
      <c r="J3" s="2" t="s">
        <v>45</v>
      </c>
      <c r="K3" s="2" t="s">
        <v>46</v>
      </c>
      <c r="L3" s="2" t="s">
        <v>46</v>
      </c>
      <c r="M3" s="2" t="s">
        <v>509</v>
      </c>
      <c r="N3" s="2" t="s">
        <v>47</v>
      </c>
      <c r="O3" s="46" t="s">
        <v>633</v>
      </c>
      <c r="P3" s="2" t="s">
        <v>638</v>
      </c>
      <c r="Q3" s="2" t="s">
        <v>397</v>
      </c>
      <c r="R3" s="5">
        <v>45894</v>
      </c>
      <c r="S3" s="5">
        <v>46259</v>
      </c>
      <c r="T3" s="2">
        <v>12</v>
      </c>
      <c r="U3" s="40" t="s">
        <v>630</v>
      </c>
      <c r="V3" s="2"/>
      <c r="W3" s="2"/>
      <c r="X3" s="2"/>
      <c r="Y3" s="2"/>
      <c r="Z3" s="40"/>
      <c r="AA3" s="2" t="s">
        <v>506</v>
      </c>
      <c r="AB3" s="2" t="s">
        <v>508</v>
      </c>
      <c r="AC3" s="2" t="s">
        <v>507</v>
      </c>
      <c r="AD3" s="4">
        <v>40</v>
      </c>
      <c r="AE3" s="2"/>
      <c r="AF3" s="2"/>
      <c r="AG3" s="2"/>
      <c r="AH3" s="2"/>
      <c r="AI3" s="56" t="s">
        <v>48</v>
      </c>
      <c r="AJ3" s="2" t="s">
        <v>49</v>
      </c>
      <c r="AK3" s="2" t="s">
        <v>46</v>
      </c>
      <c r="AL3" s="40" t="s">
        <v>50</v>
      </c>
      <c r="AM3" s="2"/>
      <c r="AN3" s="2"/>
      <c r="AO3" s="2"/>
      <c r="AP3" s="40"/>
      <c r="AQ3" s="2"/>
      <c r="AR3" s="2"/>
      <c r="AS3" s="2"/>
      <c r="AT3" s="40"/>
      <c r="AU3" s="7">
        <v>48.4</v>
      </c>
      <c r="AV3" s="5">
        <v>46265</v>
      </c>
      <c r="AW3" s="5">
        <v>46265</v>
      </c>
      <c r="AX3" s="5">
        <v>46265</v>
      </c>
      <c r="AY3" s="2"/>
      <c r="AZ3" s="2" t="s">
        <v>51</v>
      </c>
      <c r="BA3" s="2" t="s">
        <v>52</v>
      </c>
      <c r="BB3" s="2" t="s">
        <v>398</v>
      </c>
      <c r="BC3" s="2" t="s">
        <v>397</v>
      </c>
      <c r="BD3" s="9">
        <v>0.5</v>
      </c>
      <c r="BE3" s="4" t="str">
        <f t="shared" ref="BE3:BF21" si="0">D3</f>
        <v>1400609218</v>
      </c>
      <c r="BF3" s="4" t="str">
        <f t="shared" si="0"/>
        <v>EXCCL-4885514</v>
      </c>
      <c r="BG3" s="4">
        <v>20</v>
      </c>
      <c r="BH3" s="20">
        <v>66</v>
      </c>
      <c r="BI3" s="180" t="s">
        <v>725</v>
      </c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ht="15" customHeight="1" x14ac:dyDescent="0.35">
      <c r="A4" s="4"/>
      <c r="B4" s="19" t="s">
        <v>65</v>
      </c>
      <c r="C4" s="2" t="s">
        <v>66</v>
      </c>
      <c r="D4" s="10">
        <v>1600435190</v>
      </c>
      <c r="E4" s="4" t="s">
        <v>643</v>
      </c>
      <c r="F4" s="5"/>
      <c r="G4" s="4"/>
      <c r="H4" s="2"/>
      <c r="I4" s="2"/>
      <c r="J4" s="2"/>
      <c r="K4" s="2"/>
      <c r="L4" s="2"/>
      <c r="M4" s="2"/>
      <c r="N4" s="2"/>
      <c r="O4" s="46"/>
      <c r="P4" s="2"/>
      <c r="Q4" s="2"/>
      <c r="R4" s="5"/>
      <c r="S4" s="5"/>
      <c r="T4" s="2"/>
      <c r="U4" s="40"/>
      <c r="V4" s="2"/>
      <c r="W4" s="2"/>
      <c r="X4" s="2"/>
      <c r="Y4" s="2"/>
      <c r="Z4" s="40"/>
      <c r="AA4" s="2"/>
      <c r="AB4" s="2"/>
      <c r="AC4" s="2"/>
      <c r="AD4" s="4"/>
      <c r="AE4" s="2"/>
      <c r="AF4" s="2"/>
      <c r="AG4" s="2"/>
      <c r="AH4" s="2"/>
      <c r="AI4" s="2"/>
      <c r="AJ4" s="2"/>
      <c r="AK4" s="2"/>
      <c r="AL4" s="40"/>
      <c r="AM4" s="2"/>
      <c r="AN4" s="2"/>
      <c r="AO4" s="2"/>
      <c r="AP4" s="40"/>
      <c r="AQ4" s="2"/>
      <c r="AR4" s="2"/>
      <c r="AS4" s="2"/>
      <c r="AT4" s="40"/>
      <c r="AU4" s="7"/>
      <c r="AV4" s="5"/>
      <c r="AW4" s="5"/>
      <c r="AX4" s="5"/>
      <c r="AY4" s="2"/>
      <c r="AZ4" s="2"/>
      <c r="BA4" s="2"/>
      <c r="BB4" s="2"/>
      <c r="BC4" s="2"/>
      <c r="BD4" s="9"/>
      <c r="BE4" s="4"/>
      <c r="BF4" s="4" t="s">
        <v>643</v>
      </c>
      <c r="BG4" s="4"/>
      <c r="BH4" s="20"/>
      <c r="BI4" s="180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5" customHeight="1" x14ac:dyDescent="0.35">
      <c r="A5" s="4"/>
      <c r="B5" s="19" t="s">
        <v>74</v>
      </c>
      <c r="C5" s="2" t="s">
        <v>75</v>
      </c>
      <c r="D5" s="10" t="s">
        <v>76</v>
      </c>
      <c r="E5" s="4" t="s">
        <v>653</v>
      </c>
      <c r="F5" s="5">
        <v>27257</v>
      </c>
      <c r="G5" s="4">
        <f>2026-1974</f>
        <v>52</v>
      </c>
      <c r="H5" s="2" t="s">
        <v>399</v>
      </c>
      <c r="I5" s="2" t="s">
        <v>44</v>
      </c>
      <c r="J5" s="2" t="s">
        <v>45</v>
      </c>
      <c r="K5" s="2" t="s">
        <v>46</v>
      </c>
      <c r="L5" s="2" t="s">
        <v>46</v>
      </c>
      <c r="M5" s="2" t="s">
        <v>516</v>
      </c>
      <c r="N5" s="2" t="s">
        <v>47</v>
      </c>
      <c r="O5" s="46" t="s">
        <v>648</v>
      </c>
      <c r="P5" s="2" t="s">
        <v>638</v>
      </c>
      <c r="Q5" s="2" t="s">
        <v>397</v>
      </c>
      <c r="R5" s="5">
        <v>45894</v>
      </c>
      <c r="S5" s="5">
        <v>46259</v>
      </c>
      <c r="T5" s="2">
        <v>12</v>
      </c>
      <c r="U5" s="40" t="s">
        <v>630</v>
      </c>
      <c r="V5" s="2"/>
      <c r="W5" s="2"/>
      <c r="X5" s="2"/>
      <c r="Y5" s="2"/>
      <c r="Z5" s="40"/>
      <c r="AA5" s="2" t="s">
        <v>506</v>
      </c>
      <c r="AB5" s="2" t="s">
        <v>508</v>
      </c>
      <c r="AC5" s="2" t="s">
        <v>507</v>
      </c>
      <c r="AD5" s="4">
        <v>40</v>
      </c>
      <c r="AE5" s="2"/>
      <c r="AF5" s="2"/>
      <c r="AG5" s="2"/>
      <c r="AH5" s="40"/>
      <c r="AI5" s="2" t="s">
        <v>77</v>
      </c>
      <c r="AJ5" s="2" t="s">
        <v>49</v>
      </c>
      <c r="AK5" s="2" t="s">
        <v>402</v>
      </c>
      <c r="AL5" s="40" t="s">
        <v>78</v>
      </c>
      <c r="AM5" s="2"/>
      <c r="AN5" s="2"/>
      <c r="AO5" s="2"/>
      <c r="AP5" s="40"/>
      <c r="AQ5" s="2"/>
      <c r="AR5" s="2"/>
      <c r="AS5" s="2"/>
      <c r="AT5" s="40"/>
      <c r="AU5" s="7">
        <v>48.4</v>
      </c>
      <c r="AV5" s="5">
        <v>46265</v>
      </c>
      <c r="AW5" s="5">
        <v>46265</v>
      </c>
      <c r="AX5" s="5">
        <v>46265</v>
      </c>
      <c r="AY5" s="2"/>
      <c r="AZ5" s="2" t="s">
        <v>51</v>
      </c>
      <c r="BA5" s="2" t="s">
        <v>52</v>
      </c>
      <c r="BB5" s="2" t="s">
        <v>398</v>
      </c>
      <c r="BC5" s="2" t="s">
        <v>397</v>
      </c>
      <c r="BD5" s="9">
        <v>0.5</v>
      </c>
      <c r="BE5" s="4" t="str">
        <f t="shared" si="0"/>
        <v>1400379119</v>
      </c>
      <c r="BF5" s="4" t="str">
        <f t="shared" si="0"/>
        <v>EXCCL-5280041</v>
      </c>
      <c r="BG5" s="4">
        <v>24</v>
      </c>
      <c r="BH5" s="20">
        <v>72</v>
      </c>
      <c r="BI5" s="180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x14ac:dyDescent="0.35">
      <c r="B6" s="19" t="s">
        <v>79</v>
      </c>
      <c r="C6" s="2" t="s">
        <v>80</v>
      </c>
      <c r="D6" s="10">
        <v>1450177868</v>
      </c>
      <c r="E6" s="4" t="s">
        <v>654</v>
      </c>
      <c r="F6" s="5">
        <v>34545</v>
      </c>
      <c r="G6" s="4">
        <f>2026-1994</f>
        <v>32</v>
      </c>
      <c r="H6" s="2" t="s">
        <v>399</v>
      </c>
      <c r="I6" s="2" t="s">
        <v>44</v>
      </c>
      <c r="J6" s="2" t="s">
        <v>45</v>
      </c>
      <c r="K6" s="2" t="s">
        <v>46</v>
      </c>
      <c r="L6" s="2" t="s">
        <v>46</v>
      </c>
      <c r="M6" s="2" t="s">
        <v>517</v>
      </c>
      <c r="N6" s="2" t="s">
        <v>47</v>
      </c>
      <c r="O6" s="46" t="s">
        <v>649</v>
      </c>
      <c r="P6" s="2" t="s">
        <v>638</v>
      </c>
      <c r="Q6" s="2" t="s">
        <v>397</v>
      </c>
      <c r="R6" s="5">
        <v>45894</v>
      </c>
      <c r="S6" s="5">
        <v>46259</v>
      </c>
      <c r="T6" s="2">
        <v>12</v>
      </c>
      <c r="U6" s="40" t="s">
        <v>630</v>
      </c>
      <c r="V6" s="2"/>
      <c r="W6" s="2"/>
      <c r="X6" s="2"/>
      <c r="Y6" s="2"/>
      <c r="Z6" s="40"/>
      <c r="AA6" s="2"/>
      <c r="AB6" s="2" t="s">
        <v>805</v>
      </c>
      <c r="AC6" s="2" t="s">
        <v>507</v>
      </c>
      <c r="AD6" s="4">
        <v>40</v>
      </c>
      <c r="AE6" s="2"/>
      <c r="AF6" s="2"/>
      <c r="AG6" s="2"/>
      <c r="AH6" s="2"/>
      <c r="AI6" s="56" t="s">
        <v>81</v>
      </c>
      <c r="AJ6" s="2" t="s">
        <v>49</v>
      </c>
      <c r="AK6" s="2" t="s">
        <v>46</v>
      </c>
      <c r="AL6" s="40" t="s">
        <v>82</v>
      </c>
      <c r="AM6" s="2"/>
      <c r="AN6" s="2"/>
      <c r="AO6" s="2"/>
      <c r="AP6" s="40"/>
      <c r="AQ6" s="2"/>
      <c r="AR6" s="2"/>
      <c r="AS6" s="2"/>
      <c r="AT6" s="40"/>
      <c r="AU6" s="7">
        <v>48.4</v>
      </c>
      <c r="AV6" s="5">
        <v>46265</v>
      </c>
      <c r="AW6" s="5">
        <v>46265</v>
      </c>
      <c r="AX6" s="5">
        <v>46265</v>
      </c>
      <c r="AY6" s="2"/>
      <c r="AZ6" s="2" t="s">
        <v>51</v>
      </c>
      <c r="BA6" s="2" t="s">
        <v>52</v>
      </c>
      <c r="BB6" s="2" t="s">
        <v>398</v>
      </c>
      <c r="BC6" s="2" t="s">
        <v>397</v>
      </c>
      <c r="BD6" s="9">
        <v>0.5</v>
      </c>
      <c r="BE6" s="4">
        <f t="shared" ref="BE6:BF6" si="1">D6</f>
        <v>1450177868</v>
      </c>
      <c r="BF6" s="4" t="str">
        <f t="shared" si="1"/>
        <v>EXCCL-4951195</v>
      </c>
      <c r="BG6" s="4">
        <v>20</v>
      </c>
      <c r="BH6" s="20">
        <v>69</v>
      </c>
      <c r="BI6" s="180"/>
    </row>
    <row r="7" spans="1:73" ht="15" customHeight="1" x14ac:dyDescent="0.35">
      <c r="A7" s="4" t="s">
        <v>94</v>
      </c>
      <c r="B7" s="19" t="s">
        <v>95</v>
      </c>
      <c r="C7" s="2" t="s">
        <v>96</v>
      </c>
      <c r="D7" s="58">
        <v>1102434592</v>
      </c>
      <c r="E7" s="4" t="s">
        <v>666</v>
      </c>
      <c r="F7" s="5">
        <v>23900</v>
      </c>
      <c r="G7" s="4">
        <f>2026-1965</f>
        <v>61</v>
      </c>
      <c r="H7" s="2" t="s">
        <v>399</v>
      </c>
      <c r="I7" s="2" t="s">
        <v>44</v>
      </c>
      <c r="J7" s="2" t="s">
        <v>45</v>
      </c>
      <c r="K7" s="2" t="s">
        <v>46</v>
      </c>
      <c r="L7" s="2" t="s">
        <v>46</v>
      </c>
      <c r="M7" s="2" t="s">
        <v>522</v>
      </c>
      <c r="N7" s="2" t="s">
        <v>47</v>
      </c>
      <c r="O7" s="46" t="s">
        <v>661</v>
      </c>
      <c r="P7" s="2" t="s">
        <v>638</v>
      </c>
      <c r="Q7" s="2" t="s">
        <v>397</v>
      </c>
      <c r="R7" s="5">
        <v>45894</v>
      </c>
      <c r="S7" s="5">
        <v>46259</v>
      </c>
      <c r="T7" s="2">
        <v>12</v>
      </c>
      <c r="U7" s="40" t="s">
        <v>629</v>
      </c>
      <c r="V7" s="2"/>
      <c r="W7" s="2"/>
      <c r="X7" s="2"/>
      <c r="Y7" s="2"/>
      <c r="Z7" s="40"/>
      <c r="AA7" s="2" t="s">
        <v>506</v>
      </c>
      <c r="AB7" s="2" t="s">
        <v>508</v>
      </c>
      <c r="AC7" s="2" t="s">
        <v>507</v>
      </c>
      <c r="AD7" s="4">
        <v>40</v>
      </c>
      <c r="AE7" s="2"/>
      <c r="AF7" s="2"/>
      <c r="AG7" s="2"/>
      <c r="AH7" s="40"/>
      <c r="AI7" s="2"/>
      <c r="AJ7" s="2"/>
      <c r="AK7" s="2"/>
      <c r="AL7" s="40"/>
      <c r="AM7" s="2" t="s">
        <v>97</v>
      </c>
      <c r="AN7" s="2" t="s">
        <v>49</v>
      </c>
      <c r="AO7" s="2" t="s">
        <v>411</v>
      </c>
      <c r="AP7" s="40" t="s">
        <v>98</v>
      </c>
      <c r="AQ7" s="2"/>
      <c r="AR7" s="2"/>
      <c r="AS7" s="2"/>
      <c r="AT7" s="40"/>
      <c r="AU7" s="7">
        <v>48.4</v>
      </c>
      <c r="AV7" s="5">
        <v>46265</v>
      </c>
      <c r="AW7" s="5">
        <v>46265</v>
      </c>
      <c r="AX7" s="5">
        <v>46265</v>
      </c>
      <c r="AY7" s="59"/>
      <c r="AZ7" s="2" t="s">
        <v>51</v>
      </c>
      <c r="BA7" s="2" t="s">
        <v>52</v>
      </c>
      <c r="BB7" s="2" t="s">
        <v>398</v>
      </c>
      <c r="BC7" s="2" t="s">
        <v>397</v>
      </c>
      <c r="BD7" s="9">
        <v>0.58333333333333337</v>
      </c>
      <c r="BE7" s="4">
        <f t="shared" si="0"/>
        <v>1102434592</v>
      </c>
      <c r="BF7" s="4" t="str">
        <f t="shared" si="0"/>
        <v>EXCCL-8671251</v>
      </c>
      <c r="BG7" s="4">
        <v>18</v>
      </c>
      <c r="BH7" s="20">
        <v>71</v>
      </c>
      <c r="BI7" s="180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5" customHeight="1" x14ac:dyDescent="0.35">
      <c r="A8" s="4"/>
      <c r="B8" s="19" t="s">
        <v>99</v>
      </c>
      <c r="C8" s="2" t="s">
        <v>100</v>
      </c>
      <c r="D8" s="10">
        <v>1600902967</v>
      </c>
      <c r="E8" s="4" t="s">
        <v>667</v>
      </c>
      <c r="F8" s="5">
        <v>32609</v>
      </c>
      <c r="G8" s="4">
        <f>2026-1989</f>
        <v>37</v>
      </c>
      <c r="H8" s="2" t="s">
        <v>399</v>
      </c>
      <c r="I8" s="2" t="s">
        <v>44</v>
      </c>
      <c r="J8" s="2" t="s">
        <v>45</v>
      </c>
      <c r="K8" s="2" t="s">
        <v>46</v>
      </c>
      <c r="L8" s="2" t="s">
        <v>46</v>
      </c>
      <c r="M8" s="2" t="s">
        <v>523</v>
      </c>
      <c r="N8" s="2" t="s">
        <v>47</v>
      </c>
      <c r="O8" s="46" t="s">
        <v>662</v>
      </c>
      <c r="P8" s="2" t="s">
        <v>638</v>
      </c>
      <c r="Q8" s="2" t="s">
        <v>397</v>
      </c>
      <c r="R8" s="5">
        <v>45894</v>
      </c>
      <c r="S8" s="5">
        <v>46259</v>
      </c>
      <c r="T8" s="2">
        <v>12</v>
      </c>
      <c r="U8" s="40" t="s">
        <v>630</v>
      </c>
      <c r="V8" s="2"/>
      <c r="W8" s="2"/>
      <c r="X8" s="2"/>
      <c r="Y8" s="2"/>
      <c r="Z8" s="40"/>
      <c r="AA8" s="2" t="s">
        <v>506</v>
      </c>
      <c r="AB8" s="2" t="s">
        <v>508</v>
      </c>
      <c r="AC8" s="2" t="s">
        <v>507</v>
      </c>
      <c r="AD8" s="4">
        <v>40</v>
      </c>
      <c r="AE8" s="2"/>
      <c r="AF8" s="2"/>
      <c r="AG8" s="2"/>
      <c r="AH8" s="40"/>
      <c r="AI8" s="2" t="s">
        <v>101</v>
      </c>
      <c r="AJ8" s="2" t="s">
        <v>49</v>
      </c>
      <c r="AK8" s="2" t="s">
        <v>403</v>
      </c>
      <c r="AL8" s="40" t="s">
        <v>102</v>
      </c>
      <c r="AM8" s="2"/>
      <c r="AN8" s="2"/>
      <c r="AO8" s="2"/>
      <c r="AP8" s="40"/>
      <c r="AQ8" s="2"/>
      <c r="AR8" s="2"/>
      <c r="AS8" s="2"/>
      <c r="AT8" s="40"/>
      <c r="AU8" s="7">
        <v>48.4</v>
      </c>
      <c r="AV8" s="5">
        <v>46265</v>
      </c>
      <c r="AW8" s="5">
        <v>46265</v>
      </c>
      <c r="AX8" s="5">
        <v>46265</v>
      </c>
      <c r="AY8" s="2"/>
      <c r="AZ8" s="2" t="s">
        <v>51</v>
      </c>
      <c r="BA8" s="2" t="s">
        <v>52</v>
      </c>
      <c r="BB8" s="2" t="s">
        <v>398</v>
      </c>
      <c r="BC8" s="2" t="s">
        <v>397</v>
      </c>
      <c r="BD8" s="9">
        <v>0.58333333333333337</v>
      </c>
      <c r="BE8" s="4">
        <f t="shared" si="0"/>
        <v>1600902967</v>
      </c>
      <c r="BF8" s="4" t="str">
        <f t="shared" si="0"/>
        <v>EXCCL-4057138</v>
      </c>
      <c r="BG8" s="4">
        <v>22</v>
      </c>
      <c r="BH8" s="20">
        <v>69</v>
      </c>
      <c r="BI8" s="180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15" customHeight="1" x14ac:dyDescent="0.35">
      <c r="A9" s="4"/>
      <c r="B9" s="19" t="s">
        <v>103</v>
      </c>
      <c r="C9" s="2" t="s">
        <v>104</v>
      </c>
      <c r="D9" s="10">
        <v>1400431563</v>
      </c>
      <c r="E9" s="4" t="s">
        <v>668</v>
      </c>
      <c r="F9" s="5">
        <v>30499</v>
      </c>
      <c r="G9" s="4">
        <f>2026-1983</f>
        <v>43</v>
      </c>
      <c r="H9" s="2" t="s">
        <v>399</v>
      </c>
      <c r="I9" s="2" t="s">
        <v>44</v>
      </c>
      <c r="J9" s="2" t="s">
        <v>45</v>
      </c>
      <c r="K9" s="2" t="s">
        <v>46</v>
      </c>
      <c r="L9" s="2" t="s">
        <v>46</v>
      </c>
      <c r="M9" s="2" t="s">
        <v>524</v>
      </c>
      <c r="N9" s="2" t="s">
        <v>47</v>
      </c>
      <c r="O9" s="46" t="s">
        <v>663</v>
      </c>
      <c r="P9" s="2" t="s">
        <v>638</v>
      </c>
      <c r="Q9" s="2" t="s">
        <v>397</v>
      </c>
      <c r="R9" s="5">
        <v>45894</v>
      </c>
      <c r="S9" s="5">
        <v>46259</v>
      </c>
      <c r="T9" s="2">
        <v>12</v>
      </c>
      <c r="U9" s="40" t="s">
        <v>630</v>
      </c>
      <c r="V9" s="2"/>
      <c r="W9" s="2"/>
      <c r="X9" s="2"/>
      <c r="Y9" s="2"/>
      <c r="Z9" s="40"/>
      <c r="AA9" s="2" t="s">
        <v>506</v>
      </c>
      <c r="AB9" s="2" t="s">
        <v>508</v>
      </c>
      <c r="AC9" s="2" t="s">
        <v>507</v>
      </c>
      <c r="AD9" s="4">
        <v>40</v>
      </c>
      <c r="AE9" s="2"/>
      <c r="AF9" s="2"/>
      <c r="AG9" s="2"/>
      <c r="AH9" s="40"/>
      <c r="AI9" s="2" t="s">
        <v>90</v>
      </c>
      <c r="AJ9" s="2" t="s">
        <v>49</v>
      </c>
      <c r="AK9" s="2" t="s">
        <v>46</v>
      </c>
      <c r="AL9" s="40" t="s">
        <v>78</v>
      </c>
      <c r="AM9" s="2"/>
      <c r="AN9" s="2"/>
      <c r="AO9" s="2"/>
      <c r="AP9" s="40"/>
      <c r="AQ9" s="2"/>
      <c r="AR9" s="2"/>
      <c r="AS9" s="2"/>
      <c r="AT9" s="40"/>
      <c r="AU9" s="7">
        <v>48.4</v>
      </c>
      <c r="AV9" s="5">
        <v>46265</v>
      </c>
      <c r="AW9" s="5">
        <v>46265</v>
      </c>
      <c r="AX9" s="5">
        <v>46265</v>
      </c>
      <c r="AY9" s="2"/>
      <c r="AZ9" s="2" t="s">
        <v>51</v>
      </c>
      <c r="BA9" s="2" t="s">
        <v>52</v>
      </c>
      <c r="BB9" s="2" t="s">
        <v>398</v>
      </c>
      <c r="BC9" s="2" t="s">
        <v>397</v>
      </c>
      <c r="BD9" s="9">
        <v>0.58333333333333337</v>
      </c>
      <c r="BE9" s="4">
        <f t="shared" si="0"/>
        <v>1400431563</v>
      </c>
      <c r="BF9" s="4" t="str">
        <f t="shared" si="0"/>
        <v>EXCCL-9550365</v>
      </c>
      <c r="BG9" s="4">
        <v>24</v>
      </c>
      <c r="BH9" s="20">
        <v>72</v>
      </c>
      <c r="BI9" s="180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5" customHeight="1" x14ac:dyDescent="0.35">
      <c r="A10" s="4" t="s">
        <v>94</v>
      </c>
      <c r="B10" s="19" t="s">
        <v>108</v>
      </c>
      <c r="C10" s="2" t="s">
        <v>109</v>
      </c>
      <c r="D10" s="10">
        <v>1400309090</v>
      </c>
      <c r="E10" s="4" t="s">
        <v>674</v>
      </c>
      <c r="F10" s="5">
        <v>25496</v>
      </c>
      <c r="G10" s="4">
        <f>2026-1969</f>
        <v>57</v>
      </c>
      <c r="H10" s="2" t="s">
        <v>399</v>
      </c>
      <c r="I10" s="2" t="s">
        <v>44</v>
      </c>
      <c r="J10" s="2" t="s">
        <v>45</v>
      </c>
      <c r="K10" s="2" t="s">
        <v>46</v>
      </c>
      <c r="L10" s="2" t="s">
        <v>46</v>
      </c>
      <c r="M10" s="2" t="s">
        <v>526</v>
      </c>
      <c r="N10" s="2" t="s">
        <v>47</v>
      </c>
      <c r="O10" s="46" t="s">
        <v>670</v>
      </c>
      <c r="P10" s="2" t="s">
        <v>638</v>
      </c>
      <c r="Q10" s="2" t="s">
        <v>397</v>
      </c>
      <c r="R10" s="5">
        <v>45894</v>
      </c>
      <c r="S10" s="5">
        <v>46259</v>
      </c>
      <c r="T10" s="2">
        <v>12</v>
      </c>
      <c r="U10" s="40" t="s">
        <v>630</v>
      </c>
      <c r="V10" s="2"/>
      <c r="W10" s="2"/>
      <c r="X10" s="2"/>
      <c r="Y10" s="2"/>
      <c r="Z10" s="40"/>
      <c r="AA10" s="2" t="s">
        <v>506</v>
      </c>
      <c r="AB10" s="2" t="s">
        <v>508</v>
      </c>
      <c r="AC10" s="2" t="s">
        <v>507</v>
      </c>
      <c r="AD10" s="4">
        <v>40</v>
      </c>
      <c r="AE10" s="2"/>
      <c r="AF10" s="2"/>
      <c r="AG10" s="2"/>
      <c r="AH10" s="40"/>
      <c r="AI10" s="2" t="s">
        <v>110</v>
      </c>
      <c r="AJ10" s="2" t="s">
        <v>49</v>
      </c>
      <c r="AK10" s="2" t="s">
        <v>404</v>
      </c>
      <c r="AL10" s="40" t="s">
        <v>78</v>
      </c>
      <c r="AM10" s="2" t="s">
        <v>111</v>
      </c>
      <c r="AN10" s="2" t="s">
        <v>49</v>
      </c>
      <c r="AO10" s="2" t="s">
        <v>418</v>
      </c>
      <c r="AP10" s="40" t="s">
        <v>112</v>
      </c>
      <c r="AQ10" s="2"/>
      <c r="AR10" s="2"/>
      <c r="AS10" s="2"/>
      <c r="AT10" s="40"/>
      <c r="AU10" s="7">
        <v>48.4</v>
      </c>
      <c r="AV10" s="5">
        <v>46265</v>
      </c>
      <c r="AW10" s="5">
        <v>46265</v>
      </c>
      <c r="AX10" s="5">
        <v>46265</v>
      </c>
      <c r="AY10" s="2"/>
      <c r="AZ10" s="2" t="s">
        <v>51</v>
      </c>
      <c r="BA10" s="2" t="s">
        <v>52</v>
      </c>
      <c r="BB10" s="2" t="s">
        <v>398</v>
      </c>
      <c r="BC10" s="2" t="s">
        <v>397</v>
      </c>
      <c r="BD10" s="9">
        <v>0.58333333333333337</v>
      </c>
      <c r="BE10" s="4">
        <f t="shared" si="0"/>
        <v>1400309090</v>
      </c>
      <c r="BF10" s="4" t="str">
        <f t="shared" si="0"/>
        <v>EXCCL-7697964</v>
      </c>
      <c r="BG10" s="4">
        <v>22</v>
      </c>
      <c r="BH10" s="20">
        <v>66</v>
      </c>
      <c r="BI10" s="180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15" customHeight="1" x14ac:dyDescent="0.35">
      <c r="A11" s="11" t="s">
        <v>57</v>
      </c>
      <c r="B11" s="19" t="s">
        <v>121</v>
      </c>
      <c r="C11" s="12" t="s">
        <v>122</v>
      </c>
      <c r="D11" s="10">
        <v>1801662014</v>
      </c>
      <c r="E11" s="11" t="s">
        <v>681</v>
      </c>
      <c r="F11" s="13">
        <v>22367</v>
      </c>
      <c r="G11" s="11">
        <f>2026-1961</f>
        <v>65</v>
      </c>
      <c r="H11" s="2" t="s">
        <v>399</v>
      </c>
      <c r="I11" s="2" t="s">
        <v>44</v>
      </c>
      <c r="J11" s="2" t="s">
        <v>45</v>
      </c>
      <c r="K11" s="2" t="s">
        <v>46</v>
      </c>
      <c r="L11" s="2" t="s">
        <v>46</v>
      </c>
      <c r="M11" s="12" t="s">
        <v>529</v>
      </c>
      <c r="N11" s="2" t="s">
        <v>47</v>
      </c>
      <c r="O11" s="46" t="s">
        <v>677</v>
      </c>
      <c r="P11" s="2" t="s">
        <v>638</v>
      </c>
      <c r="Q11" s="2" t="s">
        <v>397</v>
      </c>
      <c r="R11" s="5">
        <v>45894</v>
      </c>
      <c r="S11" s="5">
        <v>46259</v>
      </c>
      <c r="T11" s="2">
        <v>12</v>
      </c>
      <c r="U11" s="40" t="s">
        <v>629</v>
      </c>
      <c r="Z11" s="41"/>
      <c r="AA11" s="2" t="s">
        <v>506</v>
      </c>
      <c r="AB11" s="2" t="s">
        <v>508</v>
      </c>
      <c r="AC11" s="2" t="s">
        <v>507</v>
      </c>
      <c r="AD11" s="4">
        <v>40</v>
      </c>
      <c r="AE11" s="2" t="s">
        <v>626</v>
      </c>
      <c r="AF11" s="2" t="s">
        <v>49</v>
      </c>
      <c r="AG11" s="2" t="s">
        <v>627</v>
      </c>
      <c r="AH11" s="41"/>
      <c r="AL11" s="41"/>
      <c r="AP11" s="41"/>
      <c r="AT11" s="41"/>
      <c r="AU11" s="7">
        <v>48.4</v>
      </c>
      <c r="AV11" s="5">
        <v>46265</v>
      </c>
      <c r="AW11" s="5">
        <v>46265</v>
      </c>
      <c r="AX11" s="5">
        <v>46265</v>
      </c>
      <c r="AZ11" s="2" t="s">
        <v>51</v>
      </c>
      <c r="BA11" s="2" t="s">
        <v>52</v>
      </c>
      <c r="BB11" s="2" t="s">
        <v>398</v>
      </c>
      <c r="BC11" s="2" t="s">
        <v>397</v>
      </c>
      <c r="BD11" s="9">
        <v>0.58333333333333337</v>
      </c>
      <c r="BE11" s="4">
        <f t="shared" si="0"/>
        <v>1801662014</v>
      </c>
      <c r="BF11" s="4" t="str">
        <f t="shared" si="0"/>
        <v>EXCCL-2417978</v>
      </c>
      <c r="BG11" s="11">
        <v>24</v>
      </c>
      <c r="BH11" s="90">
        <v>68</v>
      </c>
      <c r="BI11" s="180"/>
    </row>
    <row r="12" spans="1:73" ht="15" customHeight="1" x14ac:dyDescent="0.35">
      <c r="A12" s="11" t="s">
        <v>57</v>
      </c>
      <c r="B12" s="19" t="s">
        <v>138</v>
      </c>
      <c r="C12" s="12" t="s">
        <v>139</v>
      </c>
      <c r="D12" s="10">
        <v>1400682306</v>
      </c>
      <c r="E12" s="11" t="s">
        <v>691</v>
      </c>
      <c r="F12" s="13">
        <v>29897</v>
      </c>
      <c r="G12" s="11">
        <f>2026-1981</f>
        <v>45</v>
      </c>
      <c r="H12" s="2" t="s">
        <v>399</v>
      </c>
      <c r="I12" s="2" t="s">
        <v>44</v>
      </c>
      <c r="J12" s="2" t="s">
        <v>45</v>
      </c>
      <c r="K12" s="2" t="s">
        <v>46</v>
      </c>
      <c r="L12" s="2" t="s">
        <v>46</v>
      </c>
      <c r="M12" s="12" t="s">
        <v>535</v>
      </c>
      <c r="N12" s="2" t="s">
        <v>47</v>
      </c>
      <c r="O12" s="46" t="s">
        <v>687</v>
      </c>
      <c r="P12" s="2" t="s">
        <v>638</v>
      </c>
      <c r="Q12" s="2" t="s">
        <v>397</v>
      </c>
      <c r="R12" s="5">
        <v>45894</v>
      </c>
      <c r="S12" s="5">
        <v>46259</v>
      </c>
      <c r="T12" s="2">
        <v>12</v>
      </c>
      <c r="U12" s="40" t="s">
        <v>630</v>
      </c>
      <c r="Z12" s="41"/>
      <c r="AA12" s="2" t="s">
        <v>506</v>
      </c>
      <c r="AB12" s="2" t="s">
        <v>508</v>
      </c>
      <c r="AC12" s="2" t="s">
        <v>507</v>
      </c>
      <c r="AD12" s="4">
        <v>40</v>
      </c>
      <c r="AE12" s="2" t="s">
        <v>626</v>
      </c>
      <c r="AF12" s="2" t="s">
        <v>49</v>
      </c>
      <c r="AG12" s="2" t="s">
        <v>627</v>
      </c>
      <c r="AH12" s="41"/>
      <c r="AI12" s="12"/>
      <c r="AJ12" s="12"/>
      <c r="AK12" s="12"/>
      <c r="AL12" s="42"/>
      <c r="AM12" s="12"/>
      <c r="AN12" s="12"/>
      <c r="AO12" s="12"/>
      <c r="AP12" s="42"/>
      <c r="AQ12" s="12"/>
      <c r="AR12" s="12"/>
      <c r="AS12" s="12"/>
      <c r="AT12" s="42"/>
      <c r="AU12" s="7">
        <v>48.4</v>
      </c>
      <c r="AV12" s="13">
        <v>46265</v>
      </c>
      <c r="AW12" s="13">
        <v>46265</v>
      </c>
      <c r="AX12" s="13">
        <v>46265</v>
      </c>
      <c r="AZ12" s="2" t="s">
        <v>51</v>
      </c>
      <c r="BA12" s="2" t="s">
        <v>52</v>
      </c>
      <c r="BB12" s="2" t="s">
        <v>398</v>
      </c>
      <c r="BC12" s="2" t="s">
        <v>397</v>
      </c>
      <c r="BD12" s="43">
        <v>0.66666666666666663</v>
      </c>
      <c r="BE12" s="4">
        <f t="shared" si="0"/>
        <v>1400682306</v>
      </c>
      <c r="BF12" s="4" t="str">
        <f t="shared" si="0"/>
        <v>EXCCL-1029980</v>
      </c>
      <c r="BG12" s="11">
        <v>21</v>
      </c>
      <c r="BH12" s="90">
        <v>67</v>
      </c>
      <c r="BI12" s="180"/>
    </row>
    <row r="13" spans="1:73" ht="15" customHeight="1" x14ac:dyDescent="0.35">
      <c r="A13" s="11" t="s">
        <v>57</v>
      </c>
      <c r="B13" s="19" t="s">
        <v>140</v>
      </c>
      <c r="C13" s="12" t="s">
        <v>141</v>
      </c>
      <c r="D13" s="10">
        <v>1400536965</v>
      </c>
      <c r="E13" s="11" t="s">
        <v>692</v>
      </c>
      <c r="F13" s="13">
        <v>28810</v>
      </c>
      <c r="G13" s="11">
        <f>2026-1978</f>
        <v>48</v>
      </c>
      <c r="H13" s="2" t="s">
        <v>399</v>
      </c>
      <c r="I13" s="2" t="s">
        <v>44</v>
      </c>
      <c r="J13" s="2" t="s">
        <v>45</v>
      </c>
      <c r="K13" s="2" t="s">
        <v>46</v>
      </c>
      <c r="L13" s="2" t="s">
        <v>46</v>
      </c>
      <c r="M13" s="12" t="s">
        <v>536</v>
      </c>
      <c r="N13" s="2" t="s">
        <v>47</v>
      </c>
      <c r="O13" s="46" t="s">
        <v>688</v>
      </c>
      <c r="P13" s="2" t="s">
        <v>638</v>
      </c>
      <c r="Q13" s="2" t="s">
        <v>397</v>
      </c>
      <c r="R13" s="5">
        <v>45894</v>
      </c>
      <c r="S13" s="5">
        <v>46259</v>
      </c>
      <c r="T13" s="2">
        <v>12</v>
      </c>
      <c r="U13" s="40" t="s">
        <v>629</v>
      </c>
      <c r="Z13" s="41"/>
      <c r="AA13" s="2" t="s">
        <v>506</v>
      </c>
      <c r="AB13" s="2" t="s">
        <v>508</v>
      </c>
      <c r="AC13" s="2" t="s">
        <v>507</v>
      </c>
      <c r="AD13" s="4">
        <v>40</v>
      </c>
      <c r="AE13" s="2" t="s">
        <v>626</v>
      </c>
      <c r="AF13" s="2" t="s">
        <v>49</v>
      </c>
      <c r="AG13" s="2" t="s">
        <v>627</v>
      </c>
      <c r="AH13" s="41"/>
      <c r="AI13" s="12"/>
      <c r="AJ13" s="12"/>
      <c r="AK13" s="12"/>
      <c r="AL13" s="42"/>
      <c r="AM13" s="12"/>
      <c r="AN13" s="12"/>
      <c r="AO13" s="12"/>
      <c r="AP13" s="42"/>
      <c r="AQ13" s="12"/>
      <c r="AR13" s="12"/>
      <c r="AS13" s="12"/>
      <c r="AT13" s="42"/>
      <c r="AU13" s="7">
        <v>48.4</v>
      </c>
      <c r="AV13" s="13">
        <v>46265</v>
      </c>
      <c r="AW13" s="13">
        <v>46265</v>
      </c>
      <c r="AX13" s="13">
        <v>46265</v>
      </c>
      <c r="AZ13" s="2" t="s">
        <v>51</v>
      </c>
      <c r="BA13" s="2" t="s">
        <v>52</v>
      </c>
      <c r="BB13" s="2" t="s">
        <v>398</v>
      </c>
      <c r="BC13" s="2" t="s">
        <v>397</v>
      </c>
      <c r="BD13" s="43">
        <v>0.66666666666666663</v>
      </c>
      <c r="BE13" s="4">
        <f t="shared" si="0"/>
        <v>1400536965</v>
      </c>
      <c r="BF13" s="4" t="str">
        <f t="shared" si="0"/>
        <v>EXCCL-940483</v>
      </c>
      <c r="BG13" s="11">
        <v>23</v>
      </c>
      <c r="BH13" s="90">
        <v>69</v>
      </c>
      <c r="BI13" s="180"/>
    </row>
    <row r="14" spans="1:73" ht="15" customHeight="1" x14ac:dyDescent="0.35">
      <c r="A14" s="11"/>
      <c r="B14" s="19" t="s">
        <v>142</v>
      </c>
      <c r="C14" s="12" t="s">
        <v>143</v>
      </c>
      <c r="D14" s="10">
        <v>1600758401</v>
      </c>
      <c r="E14" s="11" t="s">
        <v>693</v>
      </c>
      <c r="F14" s="13">
        <v>33003</v>
      </c>
      <c r="G14" s="11">
        <f>2026-1990</f>
        <v>36</v>
      </c>
      <c r="H14" s="2" t="s">
        <v>399</v>
      </c>
      <c r="I14" s="2" t="s">
        <v>44</v>
      </c>
      <c r="J14" s="2" t="s">
        <v>45</v>
      </c>
      <c r="K14" s="2" t="s">
        <v>46</v>
      </c>
      <c r="L14" s="2" t="s">
        <v>46</v>
      </c>
      <c r="M14" s="12" t="s">
        <v>537</v>
      </c>
      <c r="N14" s="2" t="s">
        <v>47</v>
      </c>
      <c r="O14" s="2" t="s">
        <v>47</v>
      </c>
      <c r="P14" s="2" t="s">
        <v>638</v>
      </c>
      <c r="Q14" s="2" t="s">
        <v>397</v>
      </c>
      <c r="R14" s="5">
        <v>45894</v>
      </c>
      <c r="S14" s="5">
        <v>46259</v>
      </c>
      <c r="T14" s="2">
        <v>12</v>
      </c>
      <c r="U14" s="40" t="s">
        <v>630</v>
      </c>
      <c r="Z14" s="41"/>
      <c r="AA14" s="2" t="s">
        <v>506</v>
      </c>
      <c r="AB14" s="2" t="s">
        <v>508</v>
      </c>
      <c r="AC14" s="2" t="s">
        <v>507</v>
      </c>
      <c r="AD14" s="4">
        <v>40</v>
      </c>
      <c r="AH14" s="41"/>
      <c r="AI14" s="12" t="s">
        <v>144</v>
      </c>
      <c r="AJ14" s="12" t="s">
        <v>49</v>
      </c>
      <c r="AK14" s="12" t="s">
        <v>407</v>
      </c>
      <c r="AL14" s="42" t="s">
        <v>78</v>
      </c>
      <c r="AM14" s="12"/>
      <c r="AN14" s="12"/>
      <c r="AO14" s="12"/>
      <c r="AP14" s="42"/>
      <c r="AQ14" s="12"/>
      <c r="AR14" s="12"/>
      <c r="AS14" s="12"/>
      <c r="AT14" s="42"/>
      <c r="AU14" s="7">
        <v>48.4</v>
      </c>
      <c r="AV14" s="13">
        <v>46265</v>
      </c>
      <c r="AW14" s="13">
        <v>46265</v>
      </c>
      <c r="AX14" s="13">
        <v>46265</v>
      </c>
      <c r="AZ14" s="2" t="s">
        <v>51</v>
      </c>
      <c r="BA14" s="2" t="s">
        <v>52</v>
      </c>
      <c r="BB14" s="2" t="s">
        <v>398</v>
      </c>
      <c r="BC14" s="2" t="s">
        <v>397</v>
      </c>
      <c r="BD14" s="43">
        <v>0.66666666666666663</v>
      </c>
      <c r="BE14" s="4">
        <f t="shared" si="0"/>
        <v>1600758401</v>
      </c>
      <c r="BF14" s="4" t="str">
        <f t="shared" si="0"/>
        <v>EXCCL-7723581</v>
      </c>
      <c r="BG14" s="11">
        <v>22</v>
      </c>
      <c r="BH14" s="90">
        <v>60</v>
      </c>
      <c r="BI14" s="180"/>
    </row>
    <row r="15" spans="1:73" ht="15" customHeight="1" x14ac:dyDescent="0.35">
      <c r="A15" s="11"/>
      <c r="B15" s="19" t="s">
        <v>150</v>
      </c>
      <c r="C15" s="12" t="s">
        <v>151</v>
      </c>
      <c r="D15" s="10">
        <v>1401002207</v>
      </c>
      <c r="E15" s="11"/>
      <c r="F15" s="13"/>
      <c r="G15" s="11"/>
      <c r="H15" s="2"/>
      <c r="I15" s="2"/>
      <c r="J15" s="2"/>
      <c r="K15" s="2"/>
      <c r="L15" s="2"/>
      <c r="M15" s="12"/>
      <c r="N15" s="2"/>
      <c r="O15" s="2"/>
      <c r="P15" s="2"/>
      <c r="Q15" s="2"/>
      <c r="R15" s="5"/>
      <c r="S15" s="5"/>
      <c r="T15" s="2"/>
      <c r="U15" s="40"/>
      <c r="Z15" s="41"/>
      <c r="AA15" s="2"/>
      <c r="AB15" s="2"/>
      <c r="AC15" s="2"/>
      <c r="AD15" s="4"/>
      <c r="AH15" s="41"/>
      <c r="AI15" s="12"/>
      <c r="AJ15" s="12"/>
      <c r="AK15" s="12"/>
      <c r="AL15" s="42"/>
      <c r="AM15" s="12"/>
      <c r="AN15" s="12"/>
      <c r="AO15" s="12"/>
      <c r="AP15" s="42"/>
      <c r="AQ15" s="12"/>
      <c r="AR15" s="12"/>
      <c r="AS15" s="12"/>
      <c r="AT15" s="42"/>
      <c r="AU15" s="7"/>
      <c r="AV15" s="13"/>
      <c r="AW15" s="13"/>
      <c r="AX15" s="13"/>
      <c r="AZ15" s="2"/>
      <c r="BA15" s="2"/>
      <c r="BB15" s="2"/>
      <c r="BC15" s="2"/>
      <c r="BD15" s="43"/>
      <c r="BE15" s="10">
        <v>1401002207</v>
      </c>
      <c r="BF15" s="11" t="s">
        <v>700</v>
      </c>
      <c r="BG15" s="11">
        <v>20</v>
      </c>
      <c r="BH15" s="90">
        <v>66</v>
      </c>
      <c r="BI15" s="180"/>
    </row>
    <row r="16" spans="1:73" ht="15" customHeight="1" x14ac:dyDescent="0.35">
      <c r="A16" s="11"/>
      <c r="B16" s="19" t="s">
        <v>152</v>
      </c>
      <c r="C16" s="12" t="s">
        <v>153</v>
      </c>
      <c r="D16" s="10">
        <v>1400730188</v>
      </c>
      <c r="E16" s="11" t="s">
        <v>701</v>
      </c>
      <c r="F16" s="13">
        <v>31925</v>
      </c>
      <c r="G16" s="11">
        <f>2026-1987</f>
        <v>39</v>
      </c>
      <c r="H16" s="2" t="s">
        <v>399</v>
      </c>
      <c r="I16" s="2" t="s">
        <v>44</v>
      </c>
      <c r="J16" s="2" t="s">
        <v>45</v>
      </c>
      <c r="K16" s="2" t="s">
        <v>46</v>
      </c>
      <c r="L16" s="2" t="s">
        <v>46</v>
      </c>
      <c r="M16" s="12" t="s">
        <v>541</v>
      </c>
      <c r="N16" s="2" t="s">
        <v>47</v>
      </c>
      <c r="O16" s="46" t="s">
        <v>697</v>
      </c>
      <c r="P16" s="2" t="s">
        <v>638</v>
      </c>
      <c r="Q16" s="2" t="s">
        <v>397</v>
      </c>
      <c r="R16" s="5">
        <v>45894</v>
      </c>
      <c r="S16" s="5">
        <v>46259</v>
      </c>
      <c r="T16" s="2">
        <v>12</v>
      </c>
      <c r="U16" s="40" t="s">
        <v>630</v>
      </c>
      <c r="Z16" s="41"/>
      <c r="AA16" s="2" t="s">
        <v>506</v>
      </c>
      <c r="AB16" s="2" t="s">
        <v>508</v>
      </c>
      <c r="AC16" s="2" t="s">
        <v>507</v>
      </c>
      <c r="AD16" s="4">
        <v>40</v>
      </c>
      <c r="AH16" s="41"/>
      <c r="AI16" s="12" t="s">
        <v>125</v>
      </c>
      <c r="AJ16" s="12" t="s">
        <v>49</v>
      </c>
      <c r="AK16" s="12" t="s">
        <v>408</v>
      </c>
      <c r="AL16" s="42" t="s">
        <v>126</v>
      </c>
      <c r="AM16" s="12"/>
      <c r="AN16" s="12"/>
      <c r="AO16" s="12"/>
      <c r="AP16" s="42"/>
      <c r="AQ16" s="12"/>
      <c r="AR16" s="12"/>
      <c r="AS16" s="12"/>
      <c r="AT16" s="42"/>
      <c r="AU16" s="7">
        <v>48.4</v>
      </c>
      <c r="AV16" s="13">
        <v>46265</v>
      </c>
      <c r="AW16" s="13">
        <v>46265</v>
      </c>
      <c r="AX16" s="13">
        <v>46265</v>
      </c>
      <c r="AZ16" s="2" t="s">
        <v>51</v>
      </c>
      <c r="BA16" s="2" t="s">
        <v>52</v>
      </c>
      <c r="BB16" s="2" t="s">
        <v>398</v>
      </c>
      <c r="BC16" s="2" t="s">
        <v>397</v>
      </c>
      <c r="BD16" s="43">
        <v>0.66666666666666663</v>
      </c>
      <c r="BE16" s="4">
        <f t="shared" si="0"/>
        <v>1400730188</v>
      </c>
      <c r="BF16" s="4" t="str">
        <f t="shared" si="0"/>
        <v>EXCCL-1235085</v>
      </c>
      <c r="BG16" s="11">
        <v>21</v>
      </c>
      <c r="BH16" s="90">
        <v>72</v>
      </c>
      <c r="BI16" s="180"/>
    </row>
    <row r="17" spans="1:61" ht="15" customHeight="1" x14ac:dyDescent="0.35">
      <c r="A17" s="11"/>
      <c r="B17" s="19" t="s">
        <v>166</v>
      </c>
      <c r="C17" s="12" t="s">
        <v>167</v>
      </c>
      <c r="D17" s="10">
        <v>1600350357</v>
      </c>
      <c r="E17" s="11" t="s">
        <v>692</v>
      </c>
      <c r="F17" s="13">
        <v>30324</v>
      </c>
      <c r="G17" s="11">
        <f>2026-1983</f>
        <v>43</v>
      </c>
      <c r="H17" s="2" t="s">
        <v>399</v>
      </c>
      <c r="I17" s="2" t="s">
        <v>44</v>
      </c>
      <c r="J17" s="2" t="s">
        <v>45</v>
      </c>
      <c r="K17" s="2" t="s">
        <v>46</v>
      </c>
      <c r="L17" s="2" t="s">
        <v>46</v>
      </c>
      <c r="M17" s="12" t="s">
        <v>708</v>
      </c>
      <c r="N17" s="2" t="s">
        <v>47</v>
      </c>
      <c r="O17" s="46" t="s">
        <v>709</v>
      </c>
      <c r="P17" s="2" t="s">
        <v>638</v>
      </c>
      <c r="Q17" s="2" t="s">
        <v>397</v>
      </c>
      <c r="R17" s="5">
        <v>45894</v>
      </c>
      <c r="S17" s="5">
        <v>46259</v>
      </c>
      <c r="T17" s="2">
        <v>12</v>
      </c>
      <c r="U17" s="40" t="s">
        <v>630</v>
      </c>
      <c r="Z17" s="41"/>
      <c r="AA17" s="2" t="s">
        <v>506</v>
      </c>
      <c r="AB17" s="2" t="s">
        <v>508</v>
      </c>
      <c r="AC17" s="2" t="s">
        <v>507</v>
      </c>
      <c r="AD17" s="4">
        <v>40</v>
      </c>
      <c r="AH17" s="41"/>
      <c r="AI17" s="12" t="s">
        <v>168</v>
      </c>
      <c r="AJ17" s="2" t="s">
        <v>49</v>
      </c>
      <c r="AK17" s="12" t="s">
        <v>409</v>
      </c>
      <c r="AL17" s="42" t="s">
        <v>78</v>
      </c>
      <c r="AM17" s="12"/>
      <c r="AN17" s="12"/>
      <c r="AO17" s="12"/>
      <c r="AP17" s="42"/>
      <c r="AQ17" s="12"/>
      <c r="AR17" s="12"/>
      <c r="AS17" s="12"/>
      <c r="AT17" s="42"/>
      <c r="AU17" s="7">
        <v>48.4</v>
      </c>
      <c r="AV17" s="13">
        <v>46265</v>
      </c>
      <c r="AW17" s="13">
        <v>46265</v>
      </c>
      <c r="AX17" s="13">
        <v>46265</v>
      </c>
      <c r="AZ17" s="2" t="s">
        <v>51</v>
      </c>
      <c r="BA17" s="2" t="s">
        <v>52</v>
      </c>
      <c r="BB17" s="2" t="s">
        <v>398</v>
      </c>
      <c r="BC17" s="2" t="s">
        <v>397</v>
      </c>
      <c r="BD17" s="43">
        <v>0.66666666666666663</v>
      </c>
      <c r="BE17" s="4">
        <f t="shared" si="0"/>
        <v>1600350357</v>
      </c>
      <c r="BF17" s="11" t="s">
        <v>719</v>
      </c>
      <c r="BG17" s="11">
        <v>23</v>
      </c>
      <c r="BH17" s="90">
        <v>70</v>
      </c>
      <c r="BI17" s="180"/>
    </row>
    <row r="18" spans="1:61" ht="15" customHeight="1" x14ac:dyDescent="0.35">
      <c r="A18" s="11"/>
      <c r="B18" s="19" t="s">
        <v>171</v>
      </c>
      <c r="C18" s="12" t="s">
        <v>172</v>
      </c>
      <c r="D18" s="10">
        <v>1400444459</v>
      </c>
      <c r="E18" s="11" t="s">
        <v>698</v>
      </c>
      <c r="F18" s="13">
        <v>28997</v>
      </c>
      <c r="G18" s="11">
        <f>2026-1979</f>
        <v>47</v>
      </c>
      <c r="H18" s="2" t="s">
        <v>399</v>
      </c>
      <c r="I18" s="2" t="s">
        <v>44</v>
      </c>
      <c r="J18" s="2" t="s">
        <v>45</v>
      </c>
      <c r="K18" s="2" t="s">
        <v>46</v>
      </c>
      <c r="L18" s="2" t="s">
        <v>46</v>
      </c>
      <c r="M18" s="12" t="s">
        <v>548</v>
      </c>
      <c r="N18" s="2" t="s">
        <v>47</v>
      </c>
      <c r="O18" s="46" t="s">
        <v>711</v>
      </c>
      <c r="P18" s="2" t="s">
        <v>638</v>
      </c>
      <c r="Q18" s="2" t="s">
        <v>397</v>
      </c>
      <c r="R18" s="5">
        <v>45894</v>
      </c>
      <c r="S18" s="5">
        <v>46259</v>
      </c>
      <c r="T18" s="2">
        <v>12</v>
      </c>
      <c r="U18" s="40" t="s">
        <v>630</v>
      </c>
      <c r="Z18" s="41"/>
      <c r="AA18" s="2"/>
      <c r="AB18" s="2" t="s">
        <v>805</v>
      </c>
      <c r="AC18" s="2" t="s">
        <v>507</v>
      </c>
      <c r="AD18" s="4">
        <v>40</v>
      </c>
      <c r="AI18" s="21" t="s">
        <v>173</v>
      </c>
      <c r="AJ18" s="2" t="s">
        <v>49</v>
      </c>
      <c r="AK18" s="12" t="s">
        <v>46</v>
      </c>
      <c r="AL18" s="42" t="s">
        <v>78</v>
      </c>
      <c r="AM18" s="12"/>
      <c r="AN18" s="12"/>
      <c r="AO18" s="12"/>
      <c r="AP18" s="42"/>
      <c r="AQ18" s="12"/>
      <c r="AR18" s="12"/>
      <c r="AS18" s="12"/>
      <c r="AT18" s="42"/>
      <c r="AU18" s="7">
        <v>48.4</v>
      </c>
      <c r="AV18" s="13">
        <v>46265</v>
      </c>
      <c r="AW18" s="13">
        <v>46265</v>
      </c>
      <c r="AX18" s="13">
        <v>46265</v>
      </c>
      <c r="AZ18" s="2" t="s">
        <v>51</v>
      </c>
      <c r="BA18" s="2" t="s">
        <v>52</v>
      </c>
      <c r="BB18" s="2" t="s">
        <v>398</v>
      </c>
      <c r="BC18" s="2" t="s">
        <v>397</v>
      </c>
      <c r="BD18" s="43">
        <v>0.66666666666666663</v>
      </c>
      <c r="BE18" s="4">
        <f t="shared" si="0"/>
        <v>1400444459</v>
      </c>
      <c r="BF18" s="11" t="s">
        <v>721</v>
      </c>
      <c r="BG18" s="11">
        <v>19</v>
      </c>
      <c r="BH18" s="90">
        <v>75</v>
      </c>
      <c r="BI18" s="180"/>
    </row>
    <row r="19" spans="1:61" ht="15" customHeight="1" x14ac:dyDescent="0.35">
      <c r="A19" s="11" t="s">
        <v>61</v>
      </c>
      <c r="B19" s="19" t="s">
        <v>174</v>
      </c>
      <c r="C19" s="12" t="s">
        <v>175</v>
      </c>
      <c r="D19" s="10">
        <v>1400815799</v>
      </c>
      <c r="E19" s="11" t="s">
        <v>699</v>
      </c>
      <c r="F19" s="13">
        <v>33637</v>
      </c>
      <c r="G19" s="11">
        <f>2026-1992</f>
        <v>34</v>
      </c>
      <c r="H19" s="2" t="s">
        <v>399</v>
      </c>
      <c r="I19" s="2" t="s">
        <v>44</v>
      </c>
      <c r="J19" s="2" t="s">
        <v>45</v>
      </c>
      <c r="K19" s="2" t="s">
        <v>46</v>
      </c>
      <c r="L19" s="2" t="s">
        <v>46</v>
      </c>
      <c r="M19" s="12" t="s">
        <v>549</v>
      </c>
      <c r="N19" s="2" t="s">
        <v>47</v>
      </c>
      <c r="O19" s="46" t="s">
        <v>713</v>
      </c>
      <c r="P19" s="2" t="s">
        <v>638</v>
      </c>
      <c r="Q19" s="2" t="s">
        <v>397</v>
      </c>
      <c r="R19" s="5">
        <v>45894</v>
      </c>
      <c r="S19" s="5">
        <v>46259</v>
      </c>
      <c r="T19" s="2">
        <v>12</v>
      </c>
      <c r="U19" s="40" t="s">
        <v>629</v>
      </c>
      <c r="Z19" s="41"/>
      <c r="AA19" s="2" t="s">
        <v>506</v>
      </c>
      <c r="AB19" s="2" t="s">
        <v>508</v>
      </c>
      <c r="AC19" s="2" t="s">
        <v>507</v>
      </c>
      <c r="AD19" s="4">
        <v>40</v>
      </c>
      <c r="AE19" s="2" t="s">
        <v>626</v>
      </c>
      <c r="AF19" s="2" t="s">
        <v>49</v>
      </c>
      <c r="AG19" s="2" t="s">
        <v>627</v>
      </c>
      <c r="AH19" s="41"/>
      <c r="AI19" s="12"/>
      <c r="AJ19" s="12"/>
      <c r="AK19" s="12"/>
      <c r="AL19" s="42"/>
      <c r="AM19" s="12"/>
      <c r="AN19" s="12"/>
      <c r="AO19" s="12"/>
      <c r="AP19" s="42"/>
      <c r="AQ19" s="12"/>
      <c r="AR19" s="12"/>
      <c r="AS19" s="12"/>
      <c r="AT19" s="42"/>
      <c r="AU19" s="7">
        <v>48.4</v>
      </c>
      <c r="AV19" s="13">
        <v>46265</v>
      </c>
      <c r="AW19" s="13">
        <v>46265</v>
      </c>
      <c r="AX19" s="13">
        <v>46265</v>
      </c>
      <c r="AZ19" s="2" t="s">
        <v>51</v>
      </c>
      <c r="BA19" s="2" t="s">
        <v>52</v>
      </c>
      <c r="BB19" s="2" t="s">
        <v>398</v>
      </c>
      <c r="BC19" s="2" t="s">
        <v>397</v>
      </c>
      <c r="BD19" s="43">
        <v>0.66666666666666663</v>
      </c>
      <c r="BE19" s="4">
        <f t="shared" si="0"/>
        <v>1400815799</v>
      </c>
      <c r="BF19" s="11" t="s">
        <v>722</v>
      </c>
      <c r="BG19" s="11">
        <v>22</v>
      </c>
      <c r="BH19" s="90">
        <v>69</v>
      </c>
      <c r="BI19" s="180"/>
    </row>
    <row r="20" spans="1:61" ht="15" customHeight="1" x14ac:dyDescent="0.35">
      <c r="A20" s="11" t="s">
        <v>94</v>
      </c>
      <c r="B20" s="19" t="s">
        <v>176</v>
      </c>
      <c r="C20" s="12" t="s">
        <v>177</v>
      </c>
      <c r="D20" s="10">
        <v>1400517874</v>
      </c>
      <c r="E20" s="11" t="s">
        <v>700</v>
      </c>
      <c r="F20" s="13">
        <v>31283</v>
      </c>
      <c r="G20" s="11">
        <f>2026-1985</f>
        <v>41</v>
      </c>
      <c r="H20" s="2" t="s">
        <v>399</v>
      </c>
      <c r="I20" s="2" t="s">
        <v>44</v>
      </c>
      <c r="J20" s="2" t="s">
        <v>45</v>
      </c>
      <c r="K20" s="2" t="s">
        <v>46</v>
      </c>
      <c r="L20" s="2" t="s">
        <v>46</v>
      </c>
      <c r="M20" s="12" t="s">
        <v>550</v>
      </c>
      <c r="N20" s="2" t="s">
        <v>47</v>
      </c>
      <c r="O20" s="46" t="s">
        <v>714</v>
      </c>
      <c r="P20" s="2" t="s">
        <v>638</v>
      </c>
      <c r="Q20" s="2" t="s">
        <v>397</v>
      </c>
      <c r="R20" s="5">
        <v>45894</v>
      </c>
      <c r="S20" s="5">
        <v>46259</v>
      </c>
      <c r="T20" s="2">
        <v>12</v>
      </c>
      <c r="U20" s="40" t="s">
        <v>630</v>
      </c>
      <c r="Z20" s="41"/>
      <c r="AA20" s="2" t="s">
        <v>506</v>
      </c>
      <c r="AB20" s="2" t="s">
        <v>508</v>
      </c>
      <c r="AC20" s="2" t="s">
        <v>507</v>
      </c>
      <c r="AD20" s="4">
        <v>40</v>
      </c>
      <c r="AI20" s="21" t="s">
        <v>178</v>
      </c>
      <c r="AJ20" s="2" t="s">
        <v>49</v>
      </c>
      <c r="AK20" s="12" t="s">
        <v>410</v>
      </c>
      <c r="AL20" s="42" t="s">
        <v>179</v>
      </c>
      <c r="AM20" s="12" t="s">
        <v>180</v>
      </c>
      <c r="AN20" s="2" t="s">
        <v>49</v>
      </c>
      <c r="AO20" s="12" t="s">
        <v>419</v>
      </c>
      <c r="AP20" s="42" t="s">
        <v>181</v>
      </c>
      <c r="AQ20" s="12"/>
      <c r="AR20" s="12"/>
      <c r="AS20" s="12"/>
      <c r="AT20" s="42"/>
      <c r="AU20" s="7">
        <v>48.4</v>
      </c>
      <c r="AV20" s="13">
        <v>46265</v>
      </c>
      <c r="AW20" s="13">
        <v>46265</v>
      </c>
      <c r="AX20" s="13">
        <v>46265</v>
      </c>
      <c r="AZ20" s="2" t="s">
        <v>51</v>
      </c>
      <c r="BA20" s="2" t="s">
        <v>52</v>
      </c>
      <c r="BB20" s="2" t="s">
        <v>398</v>
      </c>
      <c r="BC20" s="2" t="s">
        <v>397</v>
      </c>
      <c r="BD20" s="43">
        <v>0.75</v>
      </c>
      <c r="BE20" s="4">
        <f t="shared" si="0"/>
        <v>1400517874</v>
      </c>
      <c r="BF20" s="11" t="s">
        <v>723</v>
      </c>
      <c r="BG20" s="11">
        <v>18</v>
      </c>
      <c r="BH20" s="90">
        <v>58</v>
      </c>
      <c r="BI20" s="180"/>
    </row>
    <row r="21" spans="1:61" ht="15" customHeight="1" x14ac:dyDescent="0.35">
      <c r="A21" s="11" t="s">
        <v>57</v>
      </c>
      <c r="B21" s="19" t="s">
        <v>185</v>
      </c>
      <c r="C21" s="12" t="s">
        <v>186</v>
      </c>
      <c r="D21" s="10">
        <v>1400893093</v>
      </c>
      <c r="E21" s="11" t="s">
        <v>702</v>
      </c>
      <c r="F21" s="13">
        <v>33272</v>
      </c>
      <c r="G21" s="11">
        <f>2026-1991</f>
        <v>35</v>
      </c>
      <c r="H21" s="2" t="s">
        <v>399</v>
      </c>
      <c r="I21" s="2" t="s">
        <v>44</v>
      </c>
      <c r="J21" s="2" t="s">
        <v>45</v>
      </c>
      <c r="K21" s="2" t="s">
        <v>46</v>
      </c>
      <c r="L21" s="2" t="s">
        <v>46</v>
      </c>
      <c r="M21" s="12" t="s">
        <v>552</v>
      </c>
      <c r="N21" s="2" t="s">
        <v>47</v>
      </c>
      <c r="O21" s="46" t="s">
        <v>732</v>
      </c>
      <c r="P21" s="2" t="s">
        <v>638</v>
      </c>
      <c r="Q21" s="2" t="s">
        <v>397</v>
      </c>
      <c r="R21" s="5">
        <v>45894</v>
      </c>
      <c r="S21" s="5">
        <v>46259</v>
      </c>
      <c r="T21" s="2">
        <v>12</v>
      </c>
      <c r="U21" s="40" t="s">
        <v>629</v>
      </c>
      <c r="Z21" s="41"/>
      <c r="AA21" s="2" t="s">
        <v>506</v>
      </c>
      <c r="AB21" s="2" t="s">
        <v>508</v>
      </c>
      <c r="AC21" s="2" t="s">
        <v>507</v>
      </c>
      <c r="AD21" s="4">
        <v>40</v>
      </c>
      <c r="AE21" s="2" t="s">
        <v>626</v>
      </c>
      <c r="AF21" s="2" t="s">
        <v>49</v>
      </c>
      <c r="AG21" s="2" t="s">
        <v>627</v>
      </c>
      <c r="AI21" s="21"/>
      <c r="AJ21" s="12"/>
      <c r="AK21" s="12"/>
      <c r="AL21" s="42"/>
      <c r="AM21" s="12"/>
      <c r="AN21" s="12"/>
      <c r="AO21" s="12"/>
      <c r="AP21" s="42"/>
      <c r="AQ21" s="12"/>
      <c r="AR21" s="12"/>
      <c r="AS21" s="12"/>
      <c r="AT21" s="42"/>
      <c r="AU21" s="7">
        <v>48.4</v>
      </c>
      <c r="AV21" s="13">
        <v>46266</v>
      </c>
      <c r="AW21" s="13">
        <v>46266</v>
      </c>
      <c r="AX21" s="13">
        <v>46266</v>
      </c>
      <c r="AZ21" s="2" t="s">
        <v>51</v>
      </c>
      <c r="BA21" s="2" t="s">
        <v>52</v>
      </c>
      <c r="BB21" s="2" t="s">
        <v>398</v>
      </c>
      <c r="BC21" s="2" t="s">
        <v>397</v>
      </c>
      <c r="BD21" s="43">
        <v>0.5</v>
      </c>
      <c r="BE21" s="4">
        <f t="shared" si="0"/>
        <v>1400893093</v>
      </c>
      <c r="BF21" s="92" t="s">
        <v>860</v>
      </c>
      <c r="BG21" s="11">
        <v>20</v>
      </c>
      <c r="BH21" s="90">
        <v>70</v>
      </c>
      <c r="BI21" s="180"/>
    </row>
    <row r="22" spans="1:61" ht="15" customHeight="1" x14ac:dyDescent="0.35">
      <c r="A22" s="11"/>
      <c r="B22" s="19" t="s">
        <v>192</v>
      </c>
      <c r="C22" s="12" t="s">
        <v>193</v>
      </c>
      <c r="D22" s="10">
        <v>1400958169</v>
      </c>
      <c r="E22" s="11" t="s">
        <v>717</v>
      </c>
      <c r="F22" s="13">
        <v>36153</v>
      </c>
      <c r="G22" s="11">
        <f>2026-1998</f>
        <v>28</v>
      </c>
      <c r="H22" s="2" t="s">
        <v>399</v>
      </c>
      <c r="I22" s="2" t="s">
        <v>44</v>
      </c>
      <c r="J22" s="2" t="s">
        <v>45</v>
      </c>
      <c r="K22" s="2" t="s">
        <v>46</v>
      </c>
      <c r="L22" s="2" t="s">
        <v>46</v>
      </c>
      <c r="M22" s="12" t="s">
        <v>555</v>
      </c>
      <c r="N22" s="2" t="s">
        <v>47</v>
      </c>
      <c r="O22" s="46" t="s">
        <v>731</v>
      </c>
      <c r="P22" s="2" t="s">
        <v>638</v>
      </c>
      <c r="Q22" s="2" t="s">
        <v>397</v>
      </c>
      <c r="R22" s="5">
        <v>45894</v>
      </c>
      <c r="S22" s="5">
        <v>46259</v>
      </c>
      <c r="T22" s="2">
        <v>12</v>
      </c>
      <c r="U22" s="40" t="s">
        <v>630</v>
      </c>
      <c r="Z22" s="41"/>
      <c r="AA22" s="2" t="s">
        <v>506</v>
      </c>
      <c r="AB22" s="2" t="s">
        <v>508</v>
      </c>
      <c r="AC22" s="2" t="s">
        <v>507</v>
      </c>
      <c r="AD22" s="4">
        <v>40</v>
      </c>
      <c r="AI22" s="21" t="s">
        <v>194</v>
      </c>
      <c r="AJ22" s="2" t="s">
        <v>49</v>
      </c>
      <c r="AK22" s="12" t="s">
        <v>46</v>
      </c>
      <c r="AL22" s="42" t="s">
        <v>78</v>
      </c>
      <c r="AM22" s="12"/>
      <c r="AN22" s="12"/>
      <c r="AO22" s="12"/>
      <c r="AP22" s="42"/>
      <c r="AQ22" s="12"/>
      <c r="AR22" s="12"/>
      <c r="AS22" s="12"/>
      <c r="AT22" s="42"/>
      <c r="AU22" s="7">
        <v>48.4</v>
      </c>
      <c r="AV22" s="13">
        <v>46266</v>
      </c>
      <c r="AW22" s="13">
        <v>46266</v>
      </c>
      <c r="AX22" s="13">
        <v>46266</v>
      </c>
      <c r="AZ22" s="2" t="s">
        <v>51</v>
      </c>
      <c r="BA22" s="2" t="s">
        <v>52</v>
      </c>
      <c r="BB22" s="2" t="s">
        <v>398</v>
      </c>
      <c r="BC22" s="2" t="s">
        <v>397</v>
      </c>
      <c r="BD22" s="43">
        <v>0.5</v>
      </c>
      <c r="BE22" s="4">
        <f t="shared" ref="BE22:BF39" si="2">D22</f>
        <v>1400958169</v>
      </c>
      <c r="BF22" s="11" t="s">
        <v>861</v>
      </c>
      <c r="BG22" s="11">
        <v>26</v>
      </c>
      <c r="BH22" s="90">
        <v>72</v>
      </c>
      <c r="BI22" s="180"/>
    </row>
    <row r="23" spans="1:61" x14ac:dyDescent="0.35">
      <c r="B23" s="19" t="s">
        <v>202</v>
      </c>
      <c r="C23" s="12" t="s">
        <v>203</v>
      </c>
      <c r="D23" s="10">
        <v>1600880353</v>
      </c>
      <c r="E23" s="11" t="s">
        <v>721</v>
      </c>
      <c r="F23" s="13">
        <v>33834</v>
      </c>
      <c r="G23" s="11">
        <f>2026-1992</f>
        <v>34</v>
      </c>
      <c r="H23" s="2" t="s">
        <v>399</v>
      </c>
      <c r="I23" s="2" t="s">
        <v>44</v>
      </c>
      <c r="J23" s="2" t="s">
        <v>45</v>
      </c>
      <c r="K23" s="2" t="s">
        <v>46</v>
      </c>
      <c r="L23" s="2" t="s">
        <v>46</v>
      </c>
      <c r="M23" s="12" t="s">
        <v>559</v>
      </c>
      <c r="N23" s="2" t="s">
        <v>47</v>
      </c>
      <c r="O23" s="46" t="s">
        <v>746</v>
      </c>
      <c r="P23" s="2" t="s">
        <v>638</v>
      </c>
      <c r="Q23" s="2" t="s">
        <v>397</v>
      </c>
      <c r="R23" s="5">
        <v>45894</v>
      </c>
      <c r="S23" s="5">
        <v>46259</v>
      </c>
      <c r="T23" s="2">
        <v>12</v>
      </c>
      <c r="U23" s="40" t="s">
        <v>629</v>
      </c>
      <c r="Z23" s="41"/>
      <c r="AA23" s="2"/>
      <c r="AB23" s="2" t="s">
        <v>805</v>
      </c>
      <c r="AC23" s="2" t="s">
        <v>507</v>
      </c>
      <c r="AD23" s="4">
        <v>40</v>
      </c>
      <c r="AE23" s="2" t="s">
        <v>626</v>
      </c>
      <c r="AF23" s="2" t="s">
        <v>49</v>
      </c>
      <c r="AG23" s="2" t="s">
        <v>627</v>
      </c>
      <c r="AI23" s="21"/>
      <c r="AJ23" s="12"/>
      <c r="AK23" s="12"/>
      <c r="AL23" s="42"/>
      <c r="AM23" s="12"/>
      <c r="AN23" s="12"/>
      <c r="AO23" s="12"/>
      <c r="AP23" s="42"/>
      <c r="AQ23" s="12"/>
      <c r="AR23" s="12"/>
      <c r="AS23" s="12"/>
      <c r="AT23" s="42"/>
      <c r="AU23" s="7">
        <v>48.4</v>
      </c>
      <c r="AV23" s="13">
        <v>46266</v>
      </c>
      <c r="AW23" s="13">
        <v>46266</v>
      </c>
      <c r="AX23" s="13">
        <v>46266</v>
      </c>
      <c r="AZ23" s="2" t="s">
        <v>51</v>
      </c>
      <c r="BA23" s="2" t="s">
        <v>52</v>
      </c>
      <c r="BB23" s="2" t="s">
        <v>398</v>
      </c>
      <c r="BC23" s="2" t="s">
        <v>397</v>
      </c>
      <c r="BD23" s="43">
        <v>0.5</v>
      </c>
      <c r="BE23" s="4">
        <f t="shared" ref="BE23:BF23" si="3">D23</f>
        <v>1600880353</v>
      </c>
      <c r="BF23" s="4" t="str">
        <f t="shared" si="3"/>
        <v>EXCCL-4578958</v>
      </c>
      <c r="BG23" s="11">
        <v>23</v>
      </c>
      <c r="BH23" s="90">
        <v>70</v>
      </c>
      <c r="BI23" s="180"/>
    </row>
    <row r="24" spans="1:61" ht="15" customHeight="1" thickBot="1" x14ac:dyDescent="0.4">
      <c r="A24" s="11"/>
      <c r="B24" s="48" t="s">
        <v>215</v>
      </c>
      <c r="C24" s="49" t="s">
        <v>216</v>
      </c>
      <c r="D24" s="50">
        <v>1600830606</v>
      </c>
      <c r="E24" s="51" t="s">
        <v>727</v>
      </c>
      <c r="F24" s="61">
        <v>34620</v>
      </c>
      <c r="G24" s="51">
        <f>2026-1994</f>
        <v>32</v>
      </c>
      <c r="H24" s="52" t="s">
        <v>399</v>
      </c>
      <c r="I24" s="52" t="s">
        <v>44</v>
      </c>
      <c r="J24" s="52" t="s">
        <v>45</v>
      </c>
      <c r="K24" s="52" t="s">
        <v>46</v>
      </c>
      <c r="L24" s="52" t="s">
        <v>46</v>
      </c>
      <c r="M24" s="49" t="s">
        <v>564</v>
      </c>
      <c r="N24" s="52" t="s">
        <v>47</v>
      </c>
      <c r="O24" s="54" t="s">
        <v>730</v>
      </c>
      <c r="P24" s="52" t="s">
        <v>638</v>
      </c>
      <c r="Q24" s="52" t="s">
        <v>397</v>
      </c>
      <c r="R24" s="62">
        <v>45894</v>
      </c>
      <c r="S24" s="62">
        <v>46259</v>
      </c>
      <c r="T24" s="52">
        <v>12</v>
      </c>
      <c r="U24" s="63" t="s">
        <v>630</v>
      </c>
      <c r="V24" s="64"/>
      <c r="W24" s="64"/>
      <c r="X24" s="64"/>
      <c r="Y24" s="64"/>
      <c r="Z24" s="65"/>
      <c r="AA24" s="52" t="s">
        <v>506</v>
      </c>
      <c r="AB24" s="52" t="s">
        <v>508</v>
      </c>
      <c r="AC24" s="52" t="s">
        <v>507</v>
      </c>
      <c r="AD24" s="53">
        <v>40</v>
      </c>
      <c r="AE24" s="64"/>
      <c r="AF24" s="64"/>
      <c r="AG24" s="64"/>
      <c r="AH24" s="65"/>
      <c r="AI24" s="49" t="s">
        <v>217</v>
      </c>
      <c r="AJ24" s="52" t="s">
        <v>49</v>
      </c>
      <c r="AK24" s="49" t="s">
        <v>415</v>
      </c>
      <c r="AL24" s="66" t="s">
        <v>78</v>
      </c>
      <c r="AM24" s="49"/>
      <c r="AN24" s="49"/>
      <c r="AO24" s="49"/>
      <c r="AP24" s="66"/>
      <c r="AQ24" s="49"/>
      <c r="AR24" s="49"/>
      <c r="AS24" s="49"/>
      <c r="AT24" s="66"/>
      <c r="AU24" s="67">
        <v>48.4</v>
      </c>
      <c r="AV24" s="61">
        <v>46266</v>
      </c>
      <c r="AW24" s="61">
        <v>46266</v>
      </c>
      <c r="AX24" s="61">
        <v>46266</v>
      </c>
      <c r="AY24" s="64"/>
      <c r="AZ24" s="52" t="s">
        <v>51</v>
      </c>
      <c r="BA24" s="52" t="s">
        <v>52</v>
      </c>
      <c r="BB24" s="52" t="s">
        <v>398</v>
      </c>
      <c r="BC24" s="52" t="s">
        <v>397</v>
      </c>
      <c r="BD24" s="55">
        <v>0.5</v>
      </c>
      <c r="BE24" s="53">
        <f t="shared" si="2"/>
        <v>1600830606</v>
      </c>
      <c r="BF24" s="53" t="str">
        <f t="shared" si="2"/>
        <v>EXCCL-4377399</v>
      </c>
      <c r="BG24" s="51">
        <v>27</v>
      </c>
      <c r="BH24" s="93">
        <v>55</v>
      </c>
      <c r="BI24" s="180"/>
    </row>
    <row r="25" spans="1:61" ht="15" customHeight="1" x14ac:dyDescent="0.35">
      <c r="A25" s="15" t="s">
        <v>94</v>
      </c>
      <c r="B25" s="19" t="s">
        <v>221</v>
      </c>
      <c r="C25" s="12" t="s">
        <v>222</v>
      </c>
      <c r="D25" s="16" t="s">
        <v>223</v>
      </c>
      <c r="E25" s="11" t="s">
        <v>735</v>
      </c>
      <c r="F25" s="13">
        <v>29485</v>
      </c>
      <c r="G25" s="11">
        <f>2026-1980</f>
        <v>46</v>
      </c>
      <c r="H25" s="2" t="s">
        <v>399</v>
      </c>
      <c r="I25" s="2" t="s">
        <v>44</v>
      </c>
      <c r="J25" s="12" t="s">
        <v>45</v>
      </c>
      <c r="K25" s="2" t="s">
        <v>46</v>
      </c>
      <c r="L25" s="2" t="s">
        <v>46</v>
      </c>
      <c r="M25" s="12" t="s">
        <v>566</v>
      </c>
      <c r="N25" s="2" t="s">
        <v>47</v>
      </c>
      <c r="O25" s="46" t="s">
        <v>750</v>
      </c>
      <c r="P25" s="2" t="s">
        <v>638</v>
      </c>
      <c r="Q25" s="2" t="s">
        <v>397</v>
      </c>
      <c r="R25" s="5">
        <v>45894</v>
      </c>
      <c r="S25" s="5">
        <v>46259</v>
      </c>
      <c r="T25" s="2">
        <v>12</v>
      </c>
      <c r="U25" s="40" t="s">
        <v>630</v>
      </c>
      <c r="Z25" s="41"/>
      <c r="AA25" s="2"/>
      <c r="AB25" s="2" t="s">
        <v>805</v>
      </c>
      <c r="AC25" s="2" t="s">
        <v>507</v>
      </c>
      <c r="AD25" s="4">
        <v>40</v>
      </c>
      <c r="AE25" s="2"/>
      <c r="AF25" s="2"/>
      <c r="AG25" s="2"/>
      <c r="AI25" s="21"/>
      <c r="AJ25" s="12"/>
      <c r="AK25" s="12"/>
      <c r="AL25" s="42"/>
      <c r="AM25" s="12" t="s">
        <v>224</v>
      </c>
      <c r="AN25" s="2" t="s">
        <v>49</v>
      </c>
      <c r="AO25" s="12" t="s">
        <v>416</v>
      </c>
      <c r="AP25" s="42" t="s">
        <v>225</v>
      </c>
      <c r="AQ25" s="12"/>
      <c r="AR25" s="12"/>
      <c r="AS25" s="12"/>
      <c r="AT25" s="42"/>
      <c r="AU25" s="7">
        <v>48.4</v>
      </c>
      <c r="AV25" s="13">
        <v>46266</v>
      </c>
      <c r="AW25" s="13">
        <v>46266</v>
      </c>
      <c r="AX25" s="13">
        <v>46266</v>
      </c>
      <c r="AZ25" s="2" t="s">
        <v>51</v>
      </c>
      <c r="BA25" s="2" t="s">
        <v>52</v>
      </c>
      <c r="BB25" s="2" t="s">
        <v>398</v>
      </c>
      <c r="BC25" s="2" t="s">
        <v>397</v>
      </c>
      <c r="BD25" s="43">
        <v>0.5</v>
      </c>
      <c r="BE25" s="4" t="str">
        <f t="shared" si="2"/>
        <v>0103558565</v>
      </c>
      <c r="BF25" s="11" t="str">
        <f t="shared" si="2"/>
        <v>EXCCL-1533976</v>
      </c>
      <c r="BG25" s="14"/>
      <c r="BH25" s="33"/>
      <c r="BI25" s="180" t="s">
        <v>726</v>
      </c>
    </row>
    <row r="26" spans="1:61" ht="15" customHeight="1" x14ac:dyDescent="0.35">
      <c r="A26" s="15" t="s">
        <v>226</v>
      </c>
      <c r="B26" s="21" t="s">
        <v>241</v>
      </c>
      <c r="C26" s="12" t="s">
        <v>242</v>
      </c>
      <c r="D26" s="16">
        <v>1400614838</v>
      </c>
      <c r="E26" s="11" t="s">
        <v>739</v>
      </c>
      <c r="F26" s="13">
        <v>31555</v>
      </c>
      <c r="G26" s="11">
        <f>2026-1986</f>
        <v>40</v>
      </c>
      <c r="H26" s="2" t="s">
        <v>399</v>
      </c>
      <c r="I26" s="2" t="s">
        <v>44</v>
      </c>
      <c r="J26" s="12" t="s">
        <v>45</v>
      </c>
      <c r="K26" s="2" t="s">
        <v>46</v>
      </c>
      <c r="L26" s="2" t="s">
        <v>46</v>
      </c>
      <c r="M26" s="12" t="s">
        <v>570</v>
      </c>
      <c r="N26" s="2" t="s">
        <v>47</v>
      </c>
      <c r="O26" s="46" t="s">
        <v>754</v>
      </c>
      <c r="P26" s="2" t="s">
        <v>638</v>
      </c>
      <c r="Q26" s="2" t="s">
        <v>397</v>
      </c>
      <c r="R26" s="5">
        <v>45894</v>
      </c>
      <c r="S26" s="5">
        <v>46259</v>
      </c>
      <c r="T26" s="2">
        <v>12</v>
      </c>
      <c r="U26" s="40" t="s">
        <v>632</v>
      </c>
      <c r="Z26" s="41"/>
      <c r="AA26" s="2"/>
      <c r="AB26" s="2" t="s">
        <v>805</v>
      </c>
      <c r="AC26" s="2" t="s">
        <v>507</v>
      </c>
      <c r="AD26" s="4">
        <v>40</v>
      </c>
      <c r="AE26" s="2"/>
      <c r="AF26" s="2"/>
      <c r="AG26" s="2"/>
      <c r="AI26" s="21"/>
      <c r="AJ26" s="12"/>
      <c r="AK26" s="12"/>
      <c r="AL26" s="42"/>
      <c r="AM26" s="12" t="s">
        <v>243</v>
      </c>
      <c r="AN26" s="2" t="s">
        <v>49</v>
      </c>
      <c r="AO26" s="12" t="s">
        <v>423</v>
      </c>
      <c r="AP26" s="42" t="s">
        <v>244</v>
      </c>
      <c r="AQ26" s="12" t="s">
        <v>245</v>
      </c>
      <c r="AR26" s="2" t="s">
        <v>49</v>
      </c>
      <c r="AS26" s="12" t="s">
        <v>416</v>
      </c>
      <c r="AT26" s="42" t="s">
        <v>246</v>
      </c>
      <c r="AU26" s="7">
        <v>48.4</v>
      </c>
      <c r="AV26" s="13">
        <v>46266</v>
      </c>
      <c r="AW26" s="13">
        <v>46266</v>
      </c>
      <c r="AX26" s="13">
        <v>46266</v>
      </c>
      <c r="AZ26" s="2" t="s">
        <v>51</v>
      </c>
      <c r="BA26" s="2" t="s">
        <v>52</v>
      </c>
      <c r="BB26" s="2" t="s">
        <v>398</v>
      </c>
      <c r="BC26" s="2" t="s">
        <v>397</v>
      </c>
      <c r="BD26" s="43">
        <v>0.5</v>
      </c>
      <c r="BE26" s="4">
        <f t="shared" si="2"/>
        <v>1400614838</v>
      </c>
      <c r="BF26" s="11" t="str">
        <f t="shared" si="2"/>
        <v>EXCCL-8345141</v>
      </c>
      <c r="BG26" s="11"/>
      <c r="BH26" s="33"/>
      <c r="BI26" s="180"/>
    </row>
    <row r="27" spans="1:61" ht="15" customHeight="1" x14ac:dyDescent="0.35">
      <c r="A27" s="11"/>
      <c r="B27" s="21" t="s">
        <v>247</v>
      </c>
      <c r="C27" s="12" t="s">
        <v>248</v>
      </c>
      <c r="D27" s="17" t="s">
        <v>249</v>
      </c>
      <c r="E27" s="11" t="s">
        <v>740</v>
      </c>
      <c r="F27" s="13">
        <v>36580</v>
      </c>
      <c r="G27" s="11">
        <f>2026-2000</f>
        <v>26</v>
      </c>
      <c r="H27" s="2" t="s">
        <v>399</v>
      </c>
      <c r="I27" s="2" t="s">
        <v>44</v>
      </c>
      <c r="J27" s="12" t="s">
        <v>45</v>
      </c>
      <c r="K27" s="2" t="s">
        <v>46</v>
      </c>
      <c r="L27" s="2" t="s">
        <v>46</v>
      </c>
      <c r="M27" s="12" t="s">
        <v>571</v>
      </c>
      <c r="N27" s="2" t="s">
        <v>47</v>
      </c>
      <c r="O27" s="46" t="s">
        <v>755</v>
      </c>
      <c r="P27" s="2" t="s">
        <v>638</v>
      </c>
      <c r="Q27" s="2" t="s">
        <v>397</v>
      </c>
      <c r="R27" s="5">
        <v>45894</v>
      </c>
      <c r="S27" s="5">
        <v>46259</v>
      </c>
      <c r="T27" s="2">
        <v>12</v>
      </c>
      <c r="U27" s="40" t="s">
        <v>629</v>
      </c>
      <c r="Z27" s="41"/>
      <c r="AA27" s="2"/>
      <c r="AB27" s="2" t="s">
        <v>805</v>
      </c>
      <c r="AC27" s="2" t="s">
        <v>507</v>
      </c>
      <c r="AD27" s="4">
        <v>40</v>
      </c>
      <c r="AI27" s="21" t="s">
        <v>250</v>
      </c>
      <c r="AJ27" s="2" t="s">
        <v>49</v>
      </c>
      <c r="AK27" s="12" t="s">
        <v>416</v>
      </c>
      <c r="AL27" s="42" t="s">
        <v>251</v>
      </c>
      <c r="AM27" s="12"/>
      <c r="AN27" s="12"/>
      <c r="AO27" s="12"/>
      <c r="AP27" s="42"/>
      <c r="AQ27" s="12"/>
      <c r="AR27" s="12"/>
      <c r="AS27" s="12"/>
      <c r="AT27" s="42"/>
      <c r="AU27" s="7">
        <v>48.4</v>
      </c>
      <c r="AV27" s="13">
        <v>46266</v>
      </c>
      <c r="AW27" s="13">
        <v>46266</v>
      </c>
      <c r="AX27" s="13">
        <v>46266</v>
      </c>
      <c r="AZ27" s="2" t="s">
        <v>51</v>
      </c>
      <c r="BA27" s="2" t="s">
        <v>52</v>
      </c>
      <c r="BB27" s="2" t="s">
        <v>398</v>
      </c>
      <c r="BC27" s="2" t="s">
        <v>397</v>
      </c>
      <c r="BD27" s="43">
        <v>0.5</v>
      </c>
      <c r="BE27" s="4" t="str">
        <f t="shared" si="2"/>
        <v>0106646995</v>
      </c>
      <c r="BF27" s="11" t="str">
        <f t="shared" si="2"/>
        <v>EXCCL-2803885</v>
      </c>
      <c r="BG27" s="11"/>
      <c r="BH27" s="33"/>
      <c r="BI27" s="180"/>
    </row>
    <row r="28" spans="1:61" ht="15" customHeight="1" x14ac:dyDescent="0.35">
      <c r="A28" s="11"/>
      <c r="B28" s="21" t="s">
        <v>252</v>
      </c>
      <c r="C28" s="12" t="s">
        <v>253</v>
      </c>
      <c r="D28" s="16">
        <v>1400985337</v>
      </c>
      <c r="E28" s="11" t="s">
        <v>758</v>
      </c>
      <c r="F28" s="13">
        <v>36825</v>
      </c>
      <c r="G28" s="11">
        <f>2026-2000</f>
        <v>26</v>
      </c>
      <c r="H28" s="2" t="s">
        <v>399</v>
      </c>
      <c r="I28" s="2" t="s">
        <v>44</v>
      </c>
      <c r="J28" s="12" t="s">
        <v>45</v>
      </c>
      <c r="K28" s="2" t="s">
        <v>46</v>
      </c>
      <c r="L28" s="2" t="s">
        <v>46</v>
      </c>
      <c r="M28" s="12" t="s">
        <v>572</v>
      </c>
      <c r="N28" s="2" t="s">
        <v>47</v>
      </c>
      <c r="O28" s="46" t="s">
        <v>783</v>
      </c>
      <c r="P28" s="2" t="s">
        <v>638</v>
      </c>
      <c r="Q28" s="2" t="s">
        <v>397</v>
      </c>
      <c r="R28" s="5">
        <v>45894</v>
      </c>
      <c r="S28" s="5">
        <v>46259</v>
      </c>
      <c r="T28" s="2">
        <v>12</v>
      </c>
      <c r="U28" s="40" t="s">
        <v>629</v>
      </c>
      <c r="Z28" s="41"/>
      <c r="AA28" s="2"/>
      <c r="AB28" s="2" t="s">
        <v>805</v>
      </c>
      <c r="AC28" s="2" t="s">
        <v>507</v>
      </c>
      <c r="AD28" s="4">
        <v>40</v>
      </c>
      <c r="AI28" s="21" t="s">
        <v>450</v>
      </c>
      <c r="AJ28" s="2" t="s">
        <v>49</v>
      </c>
      <c r="AK28" s="12" t="s">
        <v>404</v>
      </c>
      <c r="AL28" s="42" t="s">
        <v>78</v>
      </c>
      <c r="AM28" s="12"/>
      <c r="AN28" s="12"/>
      <c r="AO28" s="12"/>
      <c r="AP28" s="42"/>
      <c r="AQ28" s="12"/>
      <c r="AR28" s="12"/>
      <c r="AS28" s="12"/>
      <c r="AT28" s="42"/>
      <c r="AU28" s="7">
        <v>48.4</v>
      </c>
      <c r="AV28" s="13">
        <v>46266</v>
      </c>
      <c r="AW28" s="13">
        <v>46266</v>
      </c>
      <c r="AX28" s="13">
        <v>46266</v>
      </c>
      <c r="AZ28" s="2" t="s">
        <v>51</v>
      </c>
      <c r="BA28" s="2" t="s">
        <v>52</v>
      </c>
      <c r="BB28" s="2" t="s">
        <v>398</v>
      </c>
      <c r="BC28" s="2" t="s">
        <v>397</v>
      </c>
      <c r="BD28" s="43">
        <v>0.58333333333333337</v>
      </c>
      <c r="BE28" s="4">
        <f t="shared" si="2"/>
        <v>1400985337</v>
      </c>
      <c r="BF28" s="11" t="str">
        <f t="shared" si="2"/>
        <v>EXCCL-7706550</v>
      </c>
      <c r="BG28" s="11"/>
      <c r="BH28" s="33"/>
      <c r="BI28" s="180"/>
    </row>
    <row r="29" spans="1:61" x14ac:dyDescent="0.35">
      <c r="A29" s="87" t="s">
        <v>94</v>
      </c>
      <c r="B29" s="21" t="s">
        <v>255</v>
      </c>
      <c r="C29" s="12" t="s">
        <v>256</v>
      </c>
      <c r="D29" s="17" t="s">
        <v>257</v>
      </c>
      <c r="E29" s="11" t="s">
        <v>759</v>
      </c>
      <c r="F29" s="13">
        <v>24802</v>
      </c>
      <c r="G29" s="11">
        <f>2026-1967</f>
        <v>59</v>
      </c>
      <c r="H29" s="2" t="s">
        <v>399</v>
      </c>
      <c r="I29" s="2" t="s">
        <v>44</v>
      </c>
      <c r="J29" s="12" t="s">
        <v>45</v>
      </c>
      <c r="K29" s="2" t="s">
        <v>46</v>
      </c>
      <c r="L29" s="2" t="s">
        <v>46</v>
      </c>
      <c r="M29" s="12" t="s">
        <v>573</v>
      </c>
      <c r="N29" s="2" t="s">
        <v>47</v>
      </c>
      <c r="O29" s="46" t="s">
        <v>784</v>
      </c>
      <c r="P29" s="2" t="s">
        <v>638</v>
      </c>
      <c r="Q29" s="2" t="s">
        <v>397</v>
      </c>
      <c r="R29" s="5">
        <v>45894</v>
      </c>
      <c r="S29" s="5">
        <v>46259</v>
      </c>
      <c r="T29" s="2">
        <v>12</v>
      </c>
      <c r="U29" s="40" t="s">
        <v>630</v>
      </c>
      <c r="Z29" s="41"/>
      <c r="AA29" s="2"/>
      <c r="AB29" s="2" t="s">
        <v>805</v>
      </c>
      <c r="AC29" s="2" t="s">
        <v>507</v>
      </c>
      <c r="AD29" s="4">
        <v>40</v>
      </c>
      <c r="AI29" s="21" t="s">
        <v>254</v>
      </c>
      <c r="AJ29" s="2" t="s">
        <v>49</v>
      </c>
      <c r="AK29" s="12" t="s">
        <v>417</v>
      </c>
      <c r="AL29" s="42" t="s">
        <v>425</v>
      </c>
      <c r="AM29" s="12" t="s">
        <v>231</v>
      </c>
      <c r="AN29" s="2" t="s">
        <v>49</v>
      </c>
      <c r="AO29" s="12" t="s">
        <v>416</v>
      </c>
      <c r="AP29" s="42" t="s">
        <v>232</v>
      </c>
      <c r="AR29" s="12"/>
      <c r="AS29" s="12"/>
      <c r="AT29" s="41"/>
      <c r="AU29" s="7">
        <v>48.4</v>
      </c>
      <c r="AV29" s="13">
        <v>46266</v>
      </c>
      <c r="AW29" s="13">
        <v>46266</v>
      </c>
      <c r="AX29" s="13">
        <v>46266</v>
      </c>
      <c r="AZ29" s="2" t="s">
        <v>51</v>
      </c>
      <c r="BA29" s="2" t="s">
        <v>52</v>
      </c>
      <c r="BB29" s="2" t="s">
        <v>398</v>
      </c>
      <c r="BC29" s="2" t="s">
        <v>397</v>
      </c>
      <c r="BD29" s="43">
        <v>0.58333333333333337</v>
      </c>
      <c r="BE29" s="4" t="str">
        <f>D29</f>
        <v>0102617438</v>
      </c>
      <c r="BF29" s="11" t="str">
        <f>E29</f>
        <v>EXCCL-2744255</v>
      </c>
      <c r="BG29" s="11"/>
      <c r="BH29" s="33"/>
      <c r="BI29" s="180"/>
    </row>
    <row r="30" spans="1:61" ht="15" customHeight="1" x14ac:dyDescent="0.35">
      <c r="A30" s="15" t="s">
        <v>94</v>
      </c>
      <c r="B30" s="21" t="s">
        <v>267</v>
      </c>
      <c r="C30" s="12" t="s">
        <v>268</v>
      </c>
      <c r="D30" s="17" t="s">
        <v>269</v>
      </c>
      <c r="E30" s="11" t="s">
        <v>762</v>
      </c>
      <c r="F30" s="13">
        <v>32954</v>
      </c>
      <c r="G30" s="11">
        <f>2026-1990</f>
        <v>36</v>
      </c>
      <c r="H30" s="2" t="s">
        <v>399</v>
      </c>
      <c r="I30" s="2" t="s">
        <v>44</v>
      </c>
      <c r="J30" s="12" t="s">
        <v>45</v>
      </c>
      <c r="K30" s="2" t="s">
        <v>46</v>
      </c>
      <c r="L30" s="2" t="s">
        <v>46</v>
      </c>
      <c r="M30" s="12" t="s">
        <v>576</v>
      </c>
      <c r="N30" s="2" t="s">
        <v>47</v>
      </c>
      <c r="O30" s="46" t="s">
        <v>787</v>
      </c>
      <c r="P30" s="2" t="s">
        <v>638</v>
      </c>
      <c r="Q30" s="2" t="s">
        <v>397</v>
      </c>
      <c r="R30" s="5">
        <v>45894</v>
      </c>
      <c r="S30" s="5">
        <v>46259</v>
      </c>
      <c r="T30" s="2">
        <v>12</v>
      </c>
      <c r="U30" s="40" t="s">
        <v>630</v>
      </c>
      <c r="Z30" s="41"/>
      <c r="AA30" s="2"/>
      <c r="AB30" s="2" t="s">
        <v>805</v>
      </c>
      <c r="AC30" s="2" t="s">
        <v>507</v>
      </c>
      <c r="AD30" s="4">
        <v>40</v>
      </c>
      <c r="AI30" s="21" t="s">
        <v>178</v>
      </c>
      <c r="AJ30" s="2" t="s">
        <v>49</v>
      </c>
      <c r="AK30" s="12" t="s">
        <v>486</v>
      </c>
      <c r="AL30" s="42" t="s">
        <v>78</v>
      </c>
      <c r="AM30" s="12" t="s">
        <v>270</v>
      </c>
      <c r="AN30" s="2" t="s">
        <v>49</v>
      </c>
      <c r="AO30" s="12" t="s">
        <v>420</v>
      </c>
      <c r="AP30" s="42" t="s">
        <v>271</v>
      </c>
      <c r="AQ30" s="12"/>
      <c r="AR30" s="12"/>
      <c r="AS30" s="12"/>
      <c r="AT30" s="42"/>
      <c r="AU30" s="7">
        <v>48.4</v>
      </c>
      <c r="AV30" s="13">
        <v>46266</v>
      </c>
      <c r="AW30" s="13">
        <v>46266</v>
      </c>
      <c r="AX30" s="13">
        <v>46266</v>
      </c>
      <c r="AZ30" s="2" t="s">
        <v>51</v>
      </c>
      <c r="BA30" s="2" t="s">
        <v>52</v>
      </c>
      <c r="BB30" s="2" t="s">
        <v>398</v>
      </c>
      <c r="BC30" s="2" t="s">
        <v>397</v>
      </c>
      <c r="BD30" s="43">
        <v>0.66666666666666663</v>
      </c>
      <c r="BE30" s="4" t="str">
        <f t="shared" si="2"/>
        <v>0704422773</v>
      </c>
      <c r="BF30" s="11" t="str">
        <f t="shared" si="2"/>
        <v>EXCCL-9541024</v>
      </c>
      <c r="BG30" s="11"/>
      <c r="BH30" s="33"/>
      <c r="BI30" s="180"/>
    </row>
    <row r="31" spans="1:61" ht="15" customHeight="1" x14ac:dyDescent="0.35">
      <c r="A31" s="15" t="s">
        <v>94</v>
      </c>
      <c r="B31" s="21" t="s">
        <v>272</v>
      </c>
      <c r="C31" s="12" t="s">
        <v>273</v>
      </c>
      <c r="D31" s="16">
        <v>1601020652</v>
      </c>
      <c r="E31" s="11" t="s">
        <v>763</v>
      </c>
      <c r="F31" s="13">
        <v>36174</v>
      </c>
      <c r="G31" s="11">
        <f>2026-1999</f>
        <v>27</v>
      </c>
      <c r="H31" s="2" t="s">
        <v>399</v>
      </c>
      <c r="I31" s="2" t="s">
        <v>44</v>
      </c>
      <c r="J31" s="12" t="s">
        <v>45</v>
      </c>
      <c r="K31" s="2" t="s">
        <v>46</v>
      </c>
      <c r="L31" s="2" t="s">
        <v>46</v>
      </c>
      <c r="M31" s="12" t="s">
        <v>577</v>
      </c>
      <c r="N31" s="2" t="s">
        <v>47</v>
      </c>
      <c r="O31" s="46" t="s">
        <v>788</v>
      </c>
      <c r="P31" s="2" t="s">
        <v>638</v>
      </c>
      <c r="Q31" s="2" t="s">
        <v>397</v>
      </c>
      <c r="R31" s="5">
        <v>45894</v>
      </c>
      <c r="S31" s="5">
        <v>46259</v>
      </c>
      <c r="T31" s="2">
        <v>12</v>
      </c>
      <c r="U31" s="40" t="s">
        <v>630</v>
      </c>
      <c r="Z31" s="41"/>
      <c r="AA31" s="2"/>
      <c r="AB31" s="2" t="s">
        <v>805</v>
      </c>
      <c r="AC31" s="2" t="s">
        <v>507</v>
      </c>
      <c r="AD31" s="4">
        <v>40</v>
      </c>
      <c r="AI31" s="21" t="s">
        <v>429</v>
      </c>
      <c r="AJ31" s="2" t="s">
        <v>49</v>
      </c>
      <c r="AK31" s="12" t="s">
        <v>407</v>
      </c>
      <c r="AL31" s="42" t="s">
        <v>82</v>
      </c>
      <c r="AM31" s="12" t="s">
        <v>245</v>
      </c>
      <c r="AN31" s="2" t="s">
        <v>49</v>
      </c>
      <c r="AO31" s="12" t="s">
        <v>416</v>
      </c>
      <c r="AP31" s="42" t="s">
        <v>274</v>
      </c>
      <c r="AT31" s="41"/>
      <c r="AU31" s="7">
        <v>48.4</v>
      </c>
      <c r="AV31" s="13">
        <v>46266</v>
      </c>
      <c r="AW31" s="13">
        <v>46266</v>
      </c>
      <c r="AX31" s="13">
        <v>46266</v>
      </c>
      <c r="AZ31" s="2" t="s">
        <v>51</v>
      </c>
      <c r="BA31" s="2" t="s">
        <v>52</v>
      </c>
      <c r="BB31" s="2" t="s">
        <v>398</v>
      </c>
      <c r="BC31" s="2" t="s">
        <v>397</v>
      </c>
      <c r="BD31" s="43">
        <v>0.66666666666666663</v>
      </c>
      <c r="BE31" s="4">
        <f t="shared" si="2"/>
        <v>1601020652</v>
      </c>
      <c r="BF31" s="11" t="str">
        <f t="shared" si="2"/>
        <v>EXCCL-9465921</v>
      </c>
      <c r="BG31" s="11"/>
      <c r="BH31" s="33"/>
      <c r="BI31" s="180"/>
    </row>
    <row r="32" spans="1:61" ht="15" customHeight="1" x14ac:dyDescent="0.35">
      <c r="A32" s="15" t="s">
        <v>226</v>
      </c>
      <c r="B32" s="21" t="s">
        <v>275</v>
      </c>
      <c r="C32" s="12" t="s">
        <v>280</v>
      </c>
      <c r="D32" s="16" t="s">
        <v>281</v>
      </c>
      <c r="E32" s="11" t="s">
        <v>764</v>
      </c>
      <c r="F32" s="13">
        <v>32500</v>
      </c>
      <c r="G32" s="11">
        <f>2026-1988</f>
        <v>38</v>
      </c>
      <c r="H32" s="2" t="s">
        <v>399</v>
      </c>
      <c r="I32" s="2" t="s">
        <v>44</v>
      </c>
      <c r="J32" s="12" t="s">
        <v>45</v>
      </c>
      <c r="K32" s="2" t="s">
        <v>46</v>
      </c>
      <c r="L32" s="2" t="s">
        <v>46</v>
      </c>
      <c r="M32" s="12" t="s">
        <v>579</v>
      </c>
      <c r="N32" s="2" t="s">
        <v>47</v>
      </c>
      <c r="O32" s="46" t="s">
        <v>789</v>
      </c>
      <c r="P32" s="2" t="s">
        <v>638</v>
      </c>
      <c r="Q32" s="2" t="s">
        <v>397</v>
      </c>
      <c r="R32" s="5">
        <v>45894</v>
      </c>
      <c r="S32" s="5">
        <v>46259</v>
      </c>
      <c r="T32" s="2">
        <v>12</v>
      </c>
      <c r="U32" s="40" t="s">
        <v>632</v>
      </c>
      <c r="Z32" s="41"/>
      <c r="AA32" s="2"/>
      <c r="AB32" s="2" t="s">
        <v>805</v>
      </c>
      <c r="AC32" s="2" t="s">
        <v>507</v>
      </c>
      <c r="AD32" s="4">
        <v>40</v>
      </c>
      <c r="AE32" s="2"/>
      <c r="AF32" s="2"/>
      <c r="AG32" s="2"/>
      <c r="AI32" s="78"/>
      <c r="AL32" s="41"/>
      <c r="AM32" s="12" t="s">
        <v>270</v>
      </c>
      <c r="AN32" s="2" t="s">
        <v>49</v>
      </c>
      <c r="AO32" s="12" t="s">
        <v>420</v>
      </c>
      <c r="AP32" s="42" t="s">
        <v>282</v>
      </c>
      <c r="AQ32" s="12" t="s">
        <v>262</v>
      </c>
      <c r="AR32" s="12" t="s">
        <v>400</v>
      </c>
      <c r="AS32" s="12" t="s">
        <v>422</v>
      </c>
      <c r="AT32" s="42" t="s">
        <v>283</v>
      </c>
      <c r="AU32" s="7">
        <v>48.4</v>
      </c>
      <c r="AV32" s="13">
        <v>46266</v>
      </c>
      <c r="AW32" s="13">
        <v>46266</v>
      </c>
      <c r="AX32" s="13">
        <v>46266</v>
      </c>
      <c r="AZ32" s="2" t="s">
        <v>51</v>
      </c>
      <c r="BA32" s="2" t="s">
        <v>52</v>
      </c>
      <c r="BB32" s="2" t="s">
        <v>398</v>
      </c>
      <c r="BC32" s="2" t="s">
        <v>397</v>
      </c>
      <c r="BD32" s="43">
        <v>0.66666666666666663</v>
      </c>
      <c r="BE32" s="4" t="str">
        <f t="shared" si="2"/>
        <v>0603889452</v>
      </c>
      <c r="BF32" s="11" t="str">
        <f t="shared" si="2"/>
        <v>EXCCL-1647243</v>
      </c>
      <c r="BG32" s="11"/>
      <c r="BH32" s="33"/>
      <c r="BI32" s="180"/>
    </row>
    <row r="33" spans="1:61" ht="15" customHeight="1" x14ac:dyDescent="0.35">
      <c r="A33" s="15" t="s">
        <v>94</v>
      </c>
      <c r="B33" s="21" t="s">
        <v>279</v>
      </c>
      <c r="C33" s="12" t="s">
        <v>285</v>
      </c>
      <c r="D33" s="16" t="s">
        <v>286</v>
      </c>
      <c r="E33" s="11" t="s">
        <v>765</v>
      </c>
      <c r="F33" s="13">
        <v>34722</v>
      </c>
      <c r="G33" s="11">
        <f>2026-1995</f>
        <v>31</v>
      </c>
      <c r="H33" s="2" t="s">
        <v>399</v>
      </c>
      <c r="I33" s="2" t="s">
        <v>44</v>
      </c>
      <c r="J33" s="12" t="s">
        <v>45</v>
      </c>
      <c r="K33" s="2" t="s">
        <v>46</v>
      </c>
      <c r="L33" s="2" t="s">
        <v>46</v>
      </c>
      <c r="M33" s="12" t="s">
        <v>580</v>
      </c>
      <c r="N33" s="2" t="s">
        <v>47</v>
      </c>
      <c r="O33" s="46" t="s">
        <v>790</v>
      </c>
      <c r="P33" s="2" t="s">
        <v>638</v>
      </c>
      <c r="Q33" s="2" t="s">
        <v>397</v>
      </c>
      <c r="R33" s="5">
        <v>45894</v>
      </c>
      <c r="S33" s="5">
        <v>46259</v>
      </c>
      <c r="T33" s="2">
        <v>12</v>
      </c>
      <c r="U33" s="40" t="s">
        <v>630</v>
      </c>
      <c r="Z33" s="41"/>
      <c r="AA33" s="2"/>
      <c r="AB33" s="2" t="s">
        <v>805</v>
      </c>
      <c r="AC33" s="2" t="s">
        <v>507</v>
      </c>
      <c r="AD33" s="4">
        <v>40</v>
      </c>
      <c r="AI33" s="21" t="s">
        <v>90</v>
      </c>
      <c r="AJ33" s="2" t="s">
        <v>49</v>
      </c>
      <c r="AK33" s="12" t="s">
        <v>46</v>
      </c>
      <c r="AL33" s="12" t="s">
        <v>78</v>
      </c>
      <c r="AM33" s="12" t="s">
        <v>224</v>
      </c>
      <c r="AN33" s="2" t="s">
        <v>49</v>
      </c>
      <c r="AO33" s="12" t="s">
        <v>416</v>
      </c>
      <c r="AP33" s="42" t="s">
        <v>287</v>
      </c>
      <c r="AQ33" s="12"/>
      <c r="AR33" s="12"/>
      <c r="AS33" s="12"/>
      <c r="AT33" s="42"/>
      <c r="AU33" s="7">
        <v>48.4</v>
      </c>
      <c r="AV33" s="13">
        <v>46266</v>
      </c>
      <c r="AW33" s="13">
        <v>46266</v>
      </c>
      <c r="AX33" s="13">
        <v>46266</v>
      </c>
      <c r="AZ33" s="2" t="s">
        <v>51</v>
      </c>
      <c r="BA33" s="2" t="s">
        <v>52</v>
      </c>
      <c r="BB33" s="2" t="s">
        <v>398</v>
      </c>
      <c r="BC33" s="2" t="s">
        <v>397</v>
      </c>
      <c r="BD33" s="43">
        <v>0.66666666666666663</v>
      </c>
      <c r="BE33" s="4" t="str">
        <f t="shared" si="2"/>
        <v>1400762397</v>
      </c>
      <c r="BF33" s="11" t="str">
        <f t="shared" si="2"/>
        <v>EXCCL-4805538</v>
      </c>
      <c r="BG33" s="11"/>
      <c r="BH33" s="33"/>
      <c r="BI33" s="180"/>
    </row>
    <row r="34" spans="1:61" ht="15" customHeight="1" x14ac:dyDescent="0.35">
      <c r="A34" s="15" t="s">
        <v>226</v>
      </c>
      <c r="B34" s="21" t="s">
        <v>288</v>
      </c>
      <c r="C34" s="12" t="s">
        <v>293</v>
      </c>
      <c r="D34" s="16" t="s">
        <v>294</v>
      </c>
      <c r="E34" s="11" t="s">
        <v>767</v>
      </c>
      <c r="F34" s="13">
        <v>32243</v>
      </c>
      <c r="G34" s="11">
        <f>2026-1988</f>
        <v>38</v>
      </c>
      <c r="H34" s="2" t="s">
        <v>399</v>
      </c>
      <c r="I34" s="2" t="s">
        <v>44</v>
      </c>
      <c r="J34" s="12" t="s">
        <v>45</v>
      </c>
      <c r="K34" s="2" t="s">
        <v>46</v>
      </c>
      <c r="L34" s="2" t="s">
        <v>46</v>
      </c>
      <c r="M34" s="12" t="s">
        <v>582</v>
      </c>
      <c r="N34" s="2" t="s">
        <v>47</v>
      </c>
      <c r="O34" s="46" t="s">
        <v>792</v>
      </c>
      <c r="P34" s="2" t="s">
        <v>638</v>
      </c>
      <c r="Q34" s="2" t="s">
        <v>397</v>
      </c>
      <c r="R34" s="5">
        <v>45894</v>
      </c>
      <c r="S34" s="5">
        <v>46259</v>
      </c>
      <c r="T34" s="2">
        <v>12</v>
      </c>
      <c r="U34" s="40" t="s">
        <v>632</v>
      </c>
      <c r="Z34" s="41"/>
      <c r="AA34" s="2"/>
      <c r="AB34" s="2" t="s">
        <v>805</v>
      </c>
      <c r="AC34" s="2" t="s">
        <v>507</v>
      </c>
      <c r="AD34" s="4">
        <v>40</v>
      </c>
      <c r="AI34" s="83" t="s">
        <v>90</v>
      </c>
      <c r="AJ34" s="2" t="s">
        <v>49</v>
      </c>
      <c r="AK34" s="84" t="s">
        <v>46</v>
      </c>
      <c r="AL34" s="85" t="s">
        <v>78</v>
      </c>
      <c r="AM34" s="12" t="s">
        <v>270</v>
      </c>
      <c r="AN34" s="12" t="s">
        <v>49</v>
      </c>
      <c r="AO34" s="12" t="s">
        <v>420</v>
      </c>
      <c r="AP34" s="42" t="s">
        <v>451</v>
      </c>
      <c r="AQ34" s="12"/>
      <c r="AR34" s="12"/>
      <c r="AS34" s="12"/>
      <c r="AT34" s="42"/>
      <c r="AU34" s="7">
        <v>48.4</v>
      </c>
      <c r="AV34" s="13">
        <v>46266</v>
      </c>
      <c r="AW34" s="13">
        <v>46266</v>
      </c>
      <c r="AX34" s="13">
        <v>46266</v>
      </c>
      <c r="AY34" s="12"/>
      <c r="AZ34" s="2" t="s">
        <v>51</v>
      </c>
      <c r="BA34" s="2" t="s">
        <v>52</v>
      </c>
      <c r="BB34" s="2" t="s">
        <v>398</v>
      </c>
      <c r="BC34" s="2" t="s">
        <v>397</v>
      </c>
      <c r="BD34" s="43">
        <v>0.66666666666666663</v>
      </c>
      <c r="BE34" s="4" t="str">
        <f t="shared" si="2"/>
        <v>1400702302</v>
      </c>
      <c r="BF34" s="11" t="str">
        <f t="shared" si="2"/>
        <v>EXCCL-1091083</v>
      </c>
      <c r="BG34" s="11"/>
      <c r="BH34" s="90"/>
      <c r="BI34" s="180"/>
    </row>
    <row r="35" spans="1:61" ht="15" customHeight="1" x14ac:dyDescent="0.35">
      <c r="A35" s="15" t="s">
        <v>226</v>
      </c>
      <c r="B35" s="21" t="s">
        <v>298</v>
      </c>
      <c r="C35" s="12" t="s">
        <v>302</v>
      </c>
      <c r="D35" s="16" t="s">
        <v>303</v>
      </c>
      <c r="E35" s="11" t="s">
        <v>770</v>
      </c>
      <c r="F35" s="13">
        <v>33434</v>
      </c>
      <c r="G35" s="11">
        <f>2026-1991</f>
        <v>35</v>
      </c>
      <c r="H35" s="2" t="s">
        <v>399</v>
      </c>
      <c r="I35" s="2" t="s">
        <v>44</v>
      </c>
      <c r="J35" s="12" t="s">
        <v>45</v>
      </c>
      <c r="K35" s="2" t="s">
        <v>46</v>
      </c>
      <c r="L35" s="2" t="s">
        <v>46</v>
      </c>
      <c r="M35" s="12" t="s">
        <v>585</v>
      </c>
      <c r="N35" s="2" t="s">
        <v>47</v>
      </c>
      <c r="O35" s="46" t="s">
        <v>794</v>
      </c>
      <c r="P35" s="2" t="s">
        <v>638</v>
      </c>
      <c r="Q35" s="2" t="s">
        <v>397</v>
      </c>
      <c r="R35" s="5">
        <v>45894</v>
      </c>
      <c r="S35" s="5">
        <v>46259</v>
      </c>
      <c r="T35" s="2">
        <v>12</v>
      </c>
      <c r="U35" s="40" t="s">
        <v>632</v>
      </c>
      <c r="Z35" s="41"/>
      <c r="AA35" s="2"/>
      <c r="AB35" s="2" t="s">
        <v>805</v>
      </c>
      <c r="AC35" s="2" t="s">
        <v>507</v>
      </c>
      <c r="AD35" s="4">
        <v>40</v>
      </c>
      <c r="AE35" s="2"/>
      <c r="AF35" s="2"/>
      <c r="AG35" s="2"/>
      <c r="AI35" s="21"/>
      <c r="AJ35" s="12"/>
      <c r="AK35" s="12"/>
      <c r="AL35" s="42"/>
      <c r="AM35" s="12" t="s">
        <v>455</v>
      </c>
      <c r="AN35" s="12" t="s">
        <v>49</v>
      </c>
      <c r="AO35" s="12" t="s">
        <v>489</v>
      </c>
      <c r="AP35" s="42" t="s">
        <v>232</v>
      </c>
      <c r="AQ35" s="12" t="s">
        <v>245</v>
      </c>
      <c r="AR35" s="12" t="s">
        <v>49</v>
      </c>
      <c r="AS35" s="12" t="s">
        <v>416</v>
      </c>
      <c r="AT35" s="42" t="s">
        <v>246</v>
      </c>
      <c r="AU35" s="7">
        <v>48.4</v>
      </c>
      <c r="AV35" s="13">
        <v>46266</v>
      </c>
      <c r="AW35" s="13">
        <v>46266</v>
      </c>
      <c r="AX35" s="13">
        <v>46266</v>
      </c>
      <c r="AY35" s="12"/>
      <c r="AZ35" s="2" t="s">
        <v>51</v>
      </c>
      <c r="BA35" s="2" t="s">
        <v>52</v>
      </c>
      <c r="BB35" s="2" t="s">
        <v>398</v>
      </c>
      <c r="BC35" s="2" t="s">
        <v>397</v>
      </c>
      <c r="BD35" s="43">
        <v>0.66666666666666663</v>
      </c>
      <c r="BE35" s="4" t="str">
        <f t="shared" si="2"/>
        <v>1104892037</v>
      </c>
      <c r="BF35" s="11" t="str">
        <f t="shared" si="2"/>
        <v>EXCCL-2090894</v>
      </c>
      <c r="BG35" s="11"/>
      <c r="BH35" s="90"/>
      <c r="BI35" s="180"/>
    </row>
    <row r="36" spans="1:61" ht="15" customHeight="1" x14ac:dyDescent="0.35">
      <c r="A36" s="15" t="s">
        <v>94</v>
      </c>
      <c r="B36" s="21" t="s">
        <v>304</v>
      </c>
      <c r="C36" s="12" t="s">
        <v>308</v>
      </c>
      <c r="D36" s="16" t="s">
        <v>309</v>
      </c>
      <c r="E36" s="11" t="s">
        <v>772</v>
      </c>
      <c r="F36" s="13">
        <v>30700</v>
      </c>
      <c r="G36" s="11">
        <f>2026-1984</f>
        <v>42</v>
      </c>
      <c r="H36" s="2" t="s">
        <v>399</v>
      </c>
      <c r="I36" s="2" t="s">
        <v>44</v>
      </c>
      <c r="J36" s="12" t="s">
        <v>45</v>
      </c>
      <c r="K36" s="2" t="s">
        <v>46</v>
      </c>
      <c r="L36" s="2" t="s">
        <v>46</v>
      </c>
      <c r="M36" s="12" t="s">
        <v>587</v>
      </c>
      <c r="N36" s="2" t="s">
        <v>47</v>
      </c>
      <c r="O36" s="46" t="s">
        <v>796</v>
      </c>
      <c r="P36" s="2" t="s">
        <v>638</v>
      </c>
      <c r="Q36" s="2" t="s">
        <v>397</v>
      </c>
      <c r="R36" s="5">
        <v>45894</v>
      </c>
      <c r="S36" s="5">
        <v>46259</v>
      </c>
      <c r="T36" s="2">
        <v>12</v>
      </c>
      <c r="U36" s="40" t="s">
        <v>630</v>
      </c>
      <c r="Z36" s="41"/>
      <c r="AA36" s="2"/>
      <c r="AB36" s="2" t="s">
        <v>805</v>
      </c>
      <c r="AC36" s="2" t="s">
        <v>507</v>
      </c>
      <c r="AD36" s="4">
        <v>40</v>
      </c>
      <c r="AI36" s="21" t="s">
        <v>90</v>
      </c>
      <c r="AJ36" s="2" t="s">
        <v>49</v>
      </c>
      <c r="AK36" s="12" t="s">
        <v>46</v>
      </c>
      <c r="AL36" s="42" t="s">
        <v>78</v>
      </c>
      <c r="AM36" s="12" t="s">
        <v>458</v>
      </c>
      <c r="AN36" s="12" t="s">
        <v>49</v>
      </c>
      <c r="AO36" s="12" t="s">
        <v>488</v>
      </c>
      <c r="AP36" s="42" t="s">
        <v>232</v>
      </c>
      <c r="AQ36" s="12"/>
      <c r="AR36" s="12"/>
      <c r="AS36" s="12"/>
      <c r="AT36" s="42"/>
      <c r="AU36" s="7">
        <v>48.4</v>
      </c>
      <c r="AV36" s="13">
        <v>46266</v>
      </c>
      <c r="AW36" s="13">
        <v>46266</v>
      </c>
      <c r="AX36" s="13">
        <v>46266</v>
      </c>
      <c r="AY36" s="12"/>
      <c r="AZ36" s="2" t="s">
        <v>51</v>
      </c>
      <c r="BA36" s="2" t="s">
        <v>52</v>
      </c>
      <c r="BB36" s="2" t="s">
        <v>398</v>
      </c>
      <c r="BC36" s="2" t="s">
        <v>397</v>
      </c>
      <c r="BD36" s="43">
        <v>0.66666666666666663</v>
      </c>
      <c r="BE36" s="4" t="str">
        <f t="shared" si="2"/>
        <v>1400567200</v>
      </c>
      <c r="BF36" s="11" t="str">
        <f t="shared" si="2"/>
        <v>EXCCL-7075513</v>
      </c>
      <c r="BG36" s="11"/>
      <c r="BH36" s="90"/>
      <c r="BI36" s="180"/>
    </row>
    <row r="37" spans="1:61" ht="15" customHeight="1" x14ac:dyDescent="0.35">
      <c r="A37" s="15" t="s">
        <v>226</v>
      </c>
      <c r="B37" s="21" t="s">
        <v>307</v>
      </c>
      <c r="C37" s="12" t="s">
        <v>311</v>
      </c>
      <c r="D37" s="16" t="s">
        <v>312</v>
      </c>
      <c r="E37" s="11" t="s">
        <v>773</v>
      </c>
      <c r="F37" s="13">
        <v>36363</v>
      </c>
      <c r="G37" s="11">
        <f>2026-1999</f>
        <v>27</v>
      </c>
      <c r="H37" s="2" t="s">
        <v>399</v>
      </c>
      <c r="I37" s="2" t="s">
        <v>44</v>
      </c>
      <c r="J37" s="12" t="s">
        <v>45</v>
      </c>
      <c r="K37" s="2" t="s">
        <v>46</v>
      </c>
      <c r="L37" s="2" t="s">
        <v>46</v>
      </c>
      <c r="M37" s="12" t="s">
        <v>588</v>
      </c>
      <c r="N37" s="2" t="s">
        <v>47</v>
      </c>
      <c r="O37" s="46" t="s">
        <v>797</v>
      </c>
      <c r="P37" s="2" t="s">
        <v>638</v>
      </c>
      <c r="Q37" s="2" t="s">
        <v>397</v>
      </c>
      <c r="R37" s="5">
        <v>45894</v>
      </c>
      <c r="S37" s="5">
        <v>46259</v>
      </c>
      <c r="T37" s="2">
        <v>12</v>
      </c>
      <c r="U37" s="40" t="s">
        <v>632</v>
      </c>
      <c r="Z37" s="41"/>
      <c r="AA37" s="2"/>
      <c r="AB37" s="2" t="s">
        <v>805</v>
      </c>
      <c r="AC37" s="2" t="s">
        <v>507</v>
      </c>
      <c r="AD37" s="4">
        <v>40</v>
      </c>
      <c r="AI37" s="21" t="s">
        <v>432</v>
      </c>
      <c r="AJ37" s="2" t="s">
        <v>49</v>
      </c>
      <c r="AK37" s="12" t="s">
        <v>46</v>
      </c>
      <c r="AL37" s="42" t="s">
        <v>78</v>
      </c>
      <c r="AM37" s="12" t="s">
        <v>243</v>
      </c>
      <c r="AN37" s="12" t="s">
        <v>49</v>
      </c>
      <c r="AO37" s="12" t="s">
        <v>416</v>
      </c>
      <c r="AP37" s="42" t="s">
        <v>459</v>
      </c>
      <c r="AQ37" s="12" t="s">
        <v>262</v>
      </c>
      <c r="AR37" s="12" t="s">
        <v>400</v>
      </c>
      <c r="AS37" s="12" t="s">
        <v>422</v>
      </c>
      <c r="AT37" s="42" t="s">
        <v>460</v>
      </c>
      <c r="AU37" s="7">
        <v>48.4</v>
      </c>
      <c r="AV37" s="13">
        <v>46266</v>
      </c>
      <c r="AW37" s="13">
        <v>46266</v>
      </c>
      <c r="AX37" s="13">
        <v>46266</v>
      </c>
      <c r="AY37" s="12"/>
      <c r="AZ37" s="2" t="s">
        <v>51</v>
      </c>
      <c r="BA37" s="2" t="s">
        <v>52</v>
      </c>
      <c r="BB37" s="2" t="s">
        <v>398</v>
      </c>
      <c r="BC37" s="2" t="s">
        <v>397</v>
      </c>
      <c r="BD37" s="43">
        <v>0.66666666666666663</v>
      </c>
      <c r="BE37" s="4" t="str">
        <f t="shared" si="2"/>
        <v>1400714851</v>
      </c>
      <c r="BF37" s="11" t="str">
        <f t="shared" si="2"/>
        <v>EXCCL-1339657</v>
      </c>
      <c r="BG37" s="11"/>
      <c r="BH37" s="90"/>
      <c r="BI37" s="180"/>
    </row>
    <row r="38" spans="1:61" x14ac:dyDescent="0.35">
      <c r="A38" s="87" t="s">
        <v>94</v>
      </c>
      <c r="B38" s="21" t="s">
        <v>313</v>
      </c>
      <c r="C38" s="12" t="s">
        <v>316</v>
      </c>
      <c r="D38" s="16" t="s">
        <v>317</v>
      </c>
      <c r="E38" s="11" t="s">
        <v>775</v>
      </c>
      <c r="F38" s="13">
        <v>35705</v>
      </c>
      <c r="G38" s="11">
        <f>2026-1997</f>
        <v>29</v>
      </c>
      <c r="H38" s="2" t="s">
        <v>399</v>
      </c>
      <c r="I38" s="2" t="s">
        <v>44</v>
      </c>
      <c r="J38" s="12" t="s">
        <v>45</v>
      </c>
      <c r="K38" s="2" t="s">
        <v>46</v>
      </c>
      <c r="L38" s="2" t="s">
        <v>46</v>
      </c>
      <c r="M38" s="12" t="s">
        <v>590</v>
      </c>
      <c r="N38" s="2" t="s">
        <v>47</v>
      </c>
      <c r="O38" s="46" t="s">
        <v>799</v>
      </c>
      <c r="P38" s="2" t="s">
        <v>638</v>
      </c>
      <c r="Q38" s="2" t="s">
        <v>397</v>
      </c>
      <c r="R38" s="5">
        <v>45894</v>
      </c>
      <c r="S38" s="5">
        <v>46259</v>
      </c>
      <c r="T38" s="2">
        <v>12</v>
      </c>
      <c r="U38" s="2" t="s">
        <v>630</v>
      </c>
      <c r="AA38" s="2"/>
      <c r="AB38" s="2" t="s">
        <v>805</v>
      </c>
      <c r="AC38" s="2" t="s">
        <v>507</v>
      </c>
      <c r="AD38" s="4">
        <v>40</v>
      </c>
      <c r="AI38" s="12" t="s">
        <v>432</v>
      </c>
      <c r="AJ38" s="2" t="s">
        <v>49</v>
      </c>
      <c r="AK38" s="12" t="s">
        <v>46</v>
      </c>
      <c r="AL38" s="12" t="s">
        <v>78</v>
      </c>
      <c r="AM38" s="12" t="s">
        <v>245</v>
      </c>
      <c r="AN38" s="12" t="s">
        <v>49</v>
      </c>
      <c r="AO38" s="12" t="s">
        <v>416</v>
      </c>
      <c r="AP38" s="12" t="s">
        <v>232</v>
      </c>
      <c r="AQ38" s="12"/>
      <c r="AR38" s="12"/>
      <c r="AS38" s="12"/>
      <c r="AT38" s="12"/>
      <c r="AU38" s="7">
        <v>48.4</v>
      </c>
      <c r="AV38" s="13">
        <v>46266</v>
      </c>
      <c r="AW38" s="13">
        <v>46266</v>
      </c>
      <c r="AX38" s="13">
        <v>46266</v>
      </c>
      <c r="AY38" s="12"/>
      <c r="AZ38" s="2" t="s">
        <v>51</v>
      </c>
      <c r="BA38" s="2" t="s">
        <v>52</v>
      </c>
      <c r="BB38" s="2" t="s">
        <v>398</v>
      </c>
      <c r="BC38" s="2" t="s">
        <v>397</v>
      </c>
      <c r="BD38" s="43">
        <v>0.66666666666666663</v>
      </c>
      <c r="BE38" s="4" t="str">
        <f t="shared" ref="BE38:BF38" si="4">D38</f>
        <v>1400733810</v>
      </c>
      <c r="BF38" s="11" t="str">
        <f t="shared" si="4"/>
        <v>EXCCL-1452561</v>
      </c>
      <c r="BG38" s="11"/>
      <c r="BH38" s="90"/>
      <c r="BI38" s="181"/>
    </row>
    <row r="39" spans="1:61" ht="15" customHeight="1" x14ac:dyDescent="0.35">
      <c r="A39" s="15" t="s">
        <v>94</v>
      </c>
      <c r="B39" s="21" t="s">
        <v>315</v>
      </c>
      <c r="C39" s="12" t="s">
        <v>319</v>
      </c>
      <c r="D39" s="16" t="s">
        <v>320</v>
      </c>
      <c r="E39" s="11" t="s">
        <v>776</v>
      </c>
      <c r="F39" s="13">
        <v>30147</v>
      </c>
      <c r="G39" s="11">
        <f>2026-1982</f>
        <v>44</v>
      </c>
      <c r="H39" s="2" t="s">
        <v>399</v>
      </c>
      <c r="I39" s="2" t="s">
        <v>44</v>
      </c>
      <c r="J39" s="12" t="s">
        <v>45</v>
      </c>
      <c r="K39" s="2" t="s">
        <v>46</v>
      </c>
      <c r="L39" s="2" t="s">
        <v>46</v>
      </c>
      <c r="M39" s="12" t="s">
        <v>591</v>
      </c>
      <c r="N39" s="2" t="s">
        <v>47</v>
      </c>
      <c r="O39" s="46" t="s">
        <v>790</v>
      </c>
      <c r="P39" s="2" t="s">
        <v>638</v>
      </c>
      <c r="Q39" s="2" t="s">
        <v>397</v>
      </c>
      <c r="R39" s="5">
        <v>45894</v>
      </c>
      <c r="S39" s="5">
        <v>46259</v>
      </c>
      <c r="T39" s="2">
        <v>12</v>
      </c>
      <c r="U39" s="2" t="s">
        <v>630</v>
      </c>
      <c r="AA39" s="2"/>
      <c r="AB39" s="2" t="s">
        <v>805</v>
      </c>
      <c r="AC39" s="2" t="s">
        <v>507</v>
      </c>
      <c r="AD39" s="4">
        <v>40</v>
      </c>
      <c r="AI39" s="12" t="s">
        <v>433</v>
      </c>
      <c r="AJ39" s="2" t="s">
        <v>49</v>
      </c>
      <c r="AK39" s="12" t="s">
        <v>494</v>
      </c>
      <c r="AL39" s="12" t="s">
        <v>434</v>
      </c>
      <c r="AM39" s="12" t="s">
        <v>462</v>
      </c>
      <c r="AN39" s="12" t="s">
        <v>49</v>
      </c>
      <c r="AO39" s="12" t="s">
        <v>419</v>
      </c>
      <c r="AP39" s="12" t="s">
        <v>463</v>
      </c>
      <c r="AQ39" s="12"/>
      <c r="AR39" s="12"/>
      <c r="AS39" s="12"/>
      <c r="AT39" s="12"/>
      <c r="AU39" s="7">
        <v>48.4</v>
      </c>
      <c r="AV39" s="13">
        <v>46266</v>
      </c>
      <c r="AW39" s="13">
        <v>46266</v>
      </c>
      <c r="AX39" s="13">
        <v>46266</v>
      </c>
      <c r="AY39" s="12"/>
      <c r="AZ39" s="2" t="s">
        <v>51</v>
      </c>
      <c r="BA39" s="2" t="s">
        <v>52</v>
      </c>
      <c r="BB39" s="2" t="s">
        <v>398</v>
      </c>
      <c r="BC39" s="2" t="s">
        <v>397</v>
      </c>
      <c r="BD39" s="43">
        <v>0.75</v>
      </c>
      <c r="BE39" s="4" t="str">
        <f t="shared" si="2"/>
        <v>0301713723</v>
      </c>
      <c r="BF39" s="11" t="str">
        <f t="shared" si="2"/>
        <v>EXCCL-3871220</v>
      </c>
      <c r="BG39" s="11"/>
      <c r="BH39" s="90"/>
      <c r="BI39" s="181"/>
    </row>
    <row r="40" spans="1:61" ht="15" customHeight="1" x14ac:dyDescent="0.35">
      <c r="A40" s="15" t="s">
        <v>94</v>
      </c>
      <c r="B40" s="21" t="s">
        <v>328</v>
      </c>
      <c r="C40" s="12" t="s">
        <v>332</v>
      </c>
      <c r="D40" s="88" t="s">
        <v>333</v>
      </c>
      <c r="E40" s="11" t="s">
        <v>781</v>
      </c>
      <c r="F40" s="13">
        <v>31869</v>
      </c>
      <c r="G40" s="11">
        <f>2026-1987</f>
        <v>39</v>
      </c>
      <c r="H40" s="2" t="s">
        <v>399</v>
      </c>
      <c r="I40" s="2" t="s">
        <v>44</v>
      </c>
      <c r="J40" s="12" t="s">
        <v>45</v>
      </c>
      <c r="K40" s="2" t="s">
        <v>46</v>
      </c>
      <c r="L40" s="2" t="s">
        <v>46</v>
      </c>
      <c r="M40" s="12" t="s">
        <v>596</v>
      </c>
      <c r="N40" s="2" t="s">
        <v>47</v>
      </c>
      <c r="O40" s="46" t="s">
        <v>649</v>
      </c>
      <c r="P40" s="2" t="s">
        <v>638</v>
      </c>
      <c r="Q40" s="2" t="s">
        <v>397</v>
      </c>
      <c r="R40" s="5">
        <v>45894</v>
      </c>
      <c r="S40" s="5">
        <v>46259</v>
      </c>
      <c r="T40" s="2">
        <v>12</v>
      </c>
      <c r="U40" s="2" t="s">
        <v>630</v>
      </c>
      <c r="AA40" s="2"/>
      <c r="AB40" s="2" t="s">
        <v>805</v>
      </c>
      <c r="AC40" s="2" t="s">
        <v>507</v>
      </c>
      <c r="AD40" s="4">
        <v>40</v>
      </c>
      <c r="AI40" s="12" t="s">
        <v>110</v>
      </c>
      <c r="AJ40" s="2" t="s">
        <v>49</v>
      </c>
      <c r="AK40" s="12" t="s">
        <v>404</v>
      </c>
      <c r="AL40" s="12" t="s">
        <v>78</v>
      </c>
      <c r="AM40" s="12" t="s">
        <v>111</v>
      </c>
      <c r="AN40" s="12" t="s">
        <v>49</v>
      </c>
      <c r="AO40" s="12" t="s">
        <v>418</v>
      </c>
      <c r="AP40" s="12" t="s">
        <v>473</v>
      </c>
      <c r="AQ40" s="12"/>
      <c r="AR40" s="12"/>
      <c r="AS40" s="12"/>
      <c r="AT40" s="12"/>
      <c r="AU40" s="7">
        <v>48.4</v>
      </c>
      <c r="AV40" s="13">
        <v>46266</v>
      </c>
      <c r="AW40" s="13">
        <v>46266</v>
      </c>
      <c r="AX40" s="13">
        <v>46266</v>
      </c>
      <c r="AY40" s="12"/>
      <c r="AZ40" s="2" t="s">
        <v>51</v>
      </c>
      <c r="BA40" s="2" t="s">
        <v>52</v>
      </c>
      <c r="BB40" s="2" t="s">
        <v>398</v>
      </c>
      <c r="BC40" s="2" t="s">
        <v>397</v>
      </c>
      <c r="BD40" s="43">
        <v>0.75</v>
      </c>
      <c r="BE40" s="4" t="str">
        <f t="shared" ref="BE40:BF55" si="5">D40</f>
        <v>1400777171</v>
      </c>
      <c r="BF40" s="11" t="str">
        <f t="shared" si="5"/>
        <v>EXCCL-5342216</v>
      </c>
      <c r="BG40" s="11"/>
      <c r="BH40" s="90"/>
      <c r="BI40" s="181"/>
    </row>
    <row r="41" spans="1:61" ht="15" customHeight="1" x14ac:dyDescent="0.35">
      <c r="A41" s="15" t="s">
        <v>94</v>
      </c>
      <c r="B41" s="21" t="s">
        <v>331</v>
      </c>
      <c r="C41" s="12" t="s">
        <v>335</v>
      </c>
      <c r="D41" s="88" t="s">
        <v>336</v>
      </c>
      <c r="E41" s="11" t="s">
        <v>782</v>
      </c>
      <c r="F41" s="13">
        <v>33003</v>
      </c>
      <c r="G41" s="11">
        <f>2026-1990</f>
        <v>36</v>
      </c>
      <c r="H41" s="2" t="s">
        <v>399</v>
      </c>
      <c r="I41" s="2" t="s">
        <v>44</v>
      </c>
      <c r="J41" s="12" t="s">
        <v>45</v>
      </c>
      <c r="K41" s="2" t="s">
        <v>46</v>
      </c>
      <c r="L41" s="2" t="s">
        <v>46</v>
      </c>
      <c r="M41" s="12" t="s">
        <v>597</v>
      </c>
      <c r="N41" s="2" t="s">
        <v>47</v>
      </c>
      <c r="O41" s="46" t="s">
        <v>804</v>
      </c>
      <c r="P41" s="2" t="s">
        <v>638</v>
      </c>
      <c r="Q41" s="2" t="s">
        <v>397</v>
      </c>
      <c r="R41" s="5">
        <v>45894</v>
      </c>
      <c r="S41" s="5">
        <v>46259</v>
      </c>
      <c r="T41" s="2">
        <v>12</v>
      </c>
      <c r="U41" s="2" t="s">
        <v>630</v>
      </c>
      <c r="AA41" s="2"/>
      <c r="AB41" s="2" t="s">
        <v>805</v>
      </c>
      <c r="AC41" s="2" t="s">
        <v>507</v>
      </c>
      <c r="AD41" s="4">
        <v>40</v>
      </c>
      <c r="AE41" s="2"/>
      <c r="AF41" s="2"/>
      <c r="AG41" s="2"/>
      <c r="AI41" s="12"/>
      <c r="AJ41" s="12"/>
      <c r="AK41" s="12"/>
      <c r="AL41" s="12"/>
      <c r="AM41" s="12" t="s">
        <v>245</v>
      </c>
      <c r="AN41" s="12" t="s">
        <v>49</v>
      </c>
      <c r="AO41" s="12" t="s">
        <v>416</v>
      </c>
      <c r="AP41" s="12" t="s">
        <v>474</v>
      </c>
      <c r="AQ41" s="12"/>
      <c r="AR41" s="12"/>
      <c r="AS41" s="12"/>
      <c r="AT41" s="12"/>
      <c r="AU41" s="7">
        <v>48.4</v>
      </c>
      <c r="AV41" s="13">
        <v>46266</v>
      </c>
      <c r="AW41" s="13">
        <v>46266</v>
      </c>
      <c r="AX41" s="13">
        <v>46266</v>
      </c>
      <c r="AY41" s="12"/>
      <c r="AZ41" s="2" t="s">
        <v>51</v>
      </c>
      <c r="BA41" s="2" t="s">
        <v>52</v>
      </c>
      <c r="BB41" s="2" t="s">
        <v>398</v>
      </c>
      <c r="BC41" s="2" t="s">
        <v>397</v>
      </c>
      <c r="BD41" s="43">
        <v>0.75</v>
      </c>
      <c r="BE41" s="4" t="str">
        <f t="shared" si="5"/>
        <v>1400968721</v>
      </c>
      <c r="BF41" s="11" t="str">
        <f t="shared" si="5"/>
        <v>EXCCL-8656377</v>
      </c>
      <c r="BG41" s="11"/>
      <c r="BH41" s="90"/>
      <c r="BI41" s="181"/>
    </row>
    <row r="42" spans="1:61" x14ac:dyDescent="0.35">
      <c r="A42" s="87" t="s">
        <v>226</v>
      </c>
      <c r="B42" s="21" t="s">
        <v>334</v>
      </c>
      <c r="C42" s="12" t="s">
        <v>338</v>
      </c>
      <c r="D42" s="18">
        <v>1400831515</v>
      </c>
      <c r="E42" s="11" t="s">
        <v>833</v>
      </c>
      <c r="F42" s="13">
        <v>34853</v>
      </c>
      <c r="G42" s="11">
        <f>2026-1995</f>
        <v>31</v>
      </c>
      <c r="H42" s="2" t="s">
        <v>399</v>
      </c>
      <c r="I42" s="2" t="s">
        <v>44</v>
      </c>
      <c r="J42" s="12" t="s">
        <v>45</v>
      </c>
      <c r="K42" s="2" t="s">
        <v>46</v>
      </c>
      <c r="L42" s="2" t="s">
        <v>46</v>
      </c>
      <c r="M42" s="12" t="s">
        <v>598</v>
      </c>
      <c r="N42" s="2" t="s">
        <v>47</v>
      </c>
      <c r="O42" s="46" t="s">
        <v>806</v>
      </c>
      <c r="P42" s="2" t="s">
        <v>638</v>
      </c>
      <c r="Q42" s="2" t="s">
        <v>397</v>
      </c>
      <c r="R42" s="5">
        <v>45894</v>
      </c>
      <c r="S42" s="5">
        <v>46259</v>
      </c>
      <c r="T42" s="2">
        <v>12</v>
      </c>
      <c r="U42" s="40" t="s">
        <v>632</v>
      </c>
      <c r="Z42" s="41"/>
      <c r="AA42" s="2"/>
      <c r="AB42" s="2" t="s">
        <v>805</v>
      </c>
      <c r="AC42" s="2" t="s">
        <v>507</v>
      </c>
      <c r="AD42" s="4">
        <v>40</v>
      </c>
      <c r="AI42" s="21" t="s">
        <v>81</v>
      </c>
      <c r="AJ42" s="2" t="s">
        <v>49</v>
      </c>
      <c r="AK42" s="12" t="s">
        <v>46</v>
      </c>
      <c r="AL42" s="42" t="s">
        <v>438</v>
      </c>
      <c r="AM42" s="12" t="s">
        <v>245</v>
      </c>
      <c r="AN42" s="12" t="s">
        <v>49</v>
      </c>
      <c r="AO42" s="12" t="s">
        <v>416</v>
      </c>
      <c r="AP42" s="42" t="s">
        <v>475</v>
      </c>
      <c r="AQ42" s="12" t="s">
        <v>476</v>
      </c>
      <c r="AR42" s="12" t="s">
        <v>49</v>
      </c>
      <c r="AS42" s="12" t="s">
        <v>419</v>
      </c>
      <c r="AT42" s="42" t="s">
        <v>477</v>
      </c>
      <c r="AU42" s="7">
        <v>48.4</v>
      </c>
      <c r="AV42" s="13">
        <v>46267</v>
      </c>
      <c r="AW42" s="13">
        <v>46267</v>
      </c>
      <c r="AX42" s="13">
        <v>46267</v>
      </c>
      <c r="AY42" s="12"/>
      <c r="AZ42" s="2" t="s">
        <v>51</v>
      </c>
      <c r="BA42" s="2" t="s">
        <v>52</v>
      </c>
      <c r="BB42" s="2" t="s">
        <v>398</v>
      </c>
      <c r="BC42" s="2" t="s">
        <v>397</v>
      </c>
      <c r="BD42" s="43">
        <v>0.5</v>
      </c>
      <c r="BE42" s="4">
        <f>D42</f>
        <v>1400831515</v>
      </c>
      <c r="BF42" s="11" t="str">
        <f>E42</f>
        <v>EXCCL-3254425</v>
      </c>
      <c r="BG42" s="11"/>
      <c r="BH42" s="90"/>
      <c r="BI42" s="180"/>
    </row>
    <row r="43" spans="1:61" ht="15" customHeight="1" x14ac:dyDescent="0.35">
      <c r="A43" s="11"/>
      <c r="B43" s="21" t="s">
        <v>337</v>
      </c>
      <c r="C43" s="12" t="s">
        <v>340</v>
      </c>
      <c r="D43" s="16" t="s">
        <v>341</v>
      </c>
      <c r="E43" s="11" t="s">
        <v>834</v>
      </c>
      <c r="F43" s="13">
        <v>36150</v>
      </c>
      <c r="G43" s="11">
        <f>2026-1998</f>
        <v>28</v>
      </c>
      <c r="H43" s="2" t="s">
        <v>399</v>
      </c>
      <c r="I43" s="2" t="s">
        <v>44</v>
      </c>
      <c r="J43" s="12" t="s">
        <v>45</v>
      </c>
      <c r="K43" s="2" t="s">
        <v>46</v>
      </c>
      <c r="L43" s="2" t="s">
        <v>46</v>
      </c>
      <c r="M43" s="12" t="s">
        <v>551</v>
      </c>
      <c r="N43" s="2" t="s">
        <v>47</v>
      </c>
      <c r="O43" s="46" t="s">
        <v>807</v>
      </c>
      <c r="P43" s="2" t="s">
        <v>638</v>
      </c>
      <c r="Q43" s="2" t="s">
        <v>397</v>
      </c>
      <c r="R43" s="5">
        <v>45894</v>
      </c>
      <c r="S43" s="5">
        <v>46259</v>
      </c>
      <c r="T43" s="2">
        <v>12</v>
      </c>
      <c r="U43" s="2" t="s">
        <v>629</v>
      </c>
      <c r="AA43" s="2"/>
      <c r="AB43" s="2" t="s">
        <v>805</v>
      </c>
      <c r="AC43" s="2" t="s">
        <v>507</v>
      </c>
      <c r="AD43" s="4">
        <v>40</v>
      </c>
      <c r="AI43" s="12" t="s">
        <v>439</v>
      </c>
      <c r="AJ43" s="2" t="s">
        <v>49</v>
      </c>
      <c r="AK43" s="12" t="s">
        <v>46</v>
      </c>
      <c r="AL43" s="12" t="s">
        <v>78</v>
      </c>
      <c r="AM43" s="12"/>
      <c r="AN43" s="12"/>
      <c r="AO43" s="12"/>
      <c r="AP43" s="12"/>
      <c r="AQ43" s="12"/>
      <c r="AR43" s="12"/>
      <c r="AS43" s="12"/>
      <c r="AT43" s="12"/>
      <c r="AU43" s="7">
        <v>48.4</v>
      </c>
      <c r="AV43" s="13">
        <v>46267</v>
      </c>
      <c r="AW43" s="13">
        <v>46267</v>
      </c>
      <c r="AX43" s="13">
        <v>46267</v>
      </c>
      <c r="AY43" s="12"/>
      <c r="AZ43" s="2" t="s">
        <v>51</v>
      </c>
      <c r="BA43" s="2" t="s">
        <v>52</v>
      </c>
      <c r="BB43" s="2" t="s">
        <v>398</v>
      </c>
      <c r="BC43" s="2" t="s">
        <v>397</v>
      </c>
      <c r="BD43" s="43">
        <v>0.5</v>
      </c>
      <c r="BE43" s="4" t="str">
        <f t="shared" si="5"/>
        <v>1400891352</v>
      </c>
      <c r="BF43" s="11" t="str">
        <f t="shared" si="5"/>
        <v>EXCCL-9025341</v>
      </c>
      <c r="BG43" s="11"/>
      <c r="BH43" s="90"/>
      <c r="BI43" s="180"/>
    </row>
    <row r="44" spans="1:61" ht="15" customHeight="1" x14ac:dyDescent="0.35">
      <c r="A44" s="15" t="s">
        <v>94</v>
      </c>
      <c r="B44" s="21" t="s">
        <v>339</v>
      </c>
      <c r="C44" s="12" t="s">
        <v>343</v>
      </c>
      <c r="D44" s="16" t="s">
        <v>344</v>
      </c>
      <c r="E44" s="11" t="s">
        <v>835</v>
      </c>
      <c r="F44" s="13">
        <v>31778</v>
      </c>
      <c r="G44" s="11">
        <f>2026-1987</f>
        <v>39</v>
      </c>
      <c r="H44" s="2" t="s">
        <v>399</v>
      </c>
      <c r="I44" s="2" t="s">
        <v>44</v>
      </c>
      <c r="J44" s="12" t="s">
        <v>45</v>
      </c>
      <c r="K44" s="2" t="s">
        <v>46</v>
      </c>
      <c r="L44" s="2" t="s">
        <v>46</v>
      </c>
      <c r="M44" s="12" t="s">
        <v>599</v>
      </c>
      <c r="N44" s="2" t="s">
        <v>47</v>
      </c>
      <c r="O44" s="46" t="s">
        <v>808</v>
      </c>
      <c r="P44" s="2" t="s">
        <v>638</v>
      </c>
      <c r="Q44" s="2" t="s">
        <v>397</v>
      </c>
      <c r="R44" s="5">
        <v>45894</v>
      </c>
      <c r="S44" s="5">
        <v>46259</v>
      </c>
      <c r="T44" s="2">
        <v>12</v>
      </c>
      <c r="U44" s="2" t="s">
        <v>630</v>
      </c>
      <c r="AA44" s="2"/>
      <c r="AB44" s="2" t="s">
        <v>805</v>
      </c>
      <c r="AC44" s="2" t="s">
        <v>507</v>
      </c>
      <c r="AD44" s="4">
        <v>40</v>
      </c>
      <c r="AE44" s="2"/>
      <c r="AF44" s="2"/>
      <c r="AG44" s="2"/>
      <c r="AI44" s="12"/>
      <c r="AJ44" s="12"/>
      <c r="AK44" s="12"/>
      <c r="AL44" s="12"/>
      <c r="AM44" s="12" t="s">
        <v>224</v>
      </c>
      <c r="AN44" s="12" t="s">
        <v>49</v>
      </c>
      <c r="AO44" s="12" t="s">
        <v>419</v>
      </c>
      <c r="AP44" s="12" t="s">
        <v>478</v>
      </c>
      <c r="AQ44" s="12"/>
      <c r="AR44" s="12"/>
      <c r="AS44" s="12"/>
      <c r="AT44" s="12"/>
      <c r="AU44" s="7">
        <v>48.4</v>
      </c>
      <c r="AV44" s="13">
        <v>46267</v>
      </c>
      <c r="AW44" s="13">
        <v>46267</v>
      </c>
      <c r="AX44" s="13">
        <v>46267</v>
      </c>
      <c r="AY44" s="12"/>
      <c r="AZ44" s="2" t="s">
        <v>51</v>
      </c>
      <c r="BA44" s="2" t="s">
        <v>52</v>
      </c>
      <c r="BB44" s="2" t="s">
        <v>398</v>
      </c>
      <c r="BC44" s="2" t="s">
        <v>397</v>
      </c>
      <c r="BD44" s="43">
        <v>0.5</v>
      </c>
      <c r="BE44" s="4" t="str">
        <f t="shared" si="5"/>
        <v>1400615439</v>
      </c>
      <c r="BF44" s="11" t="str">
        <f t="shared" si="5"/>
        <v>EXCCL-7490146</v>
      </c>
      <c r="BG44" s="11"/>
      <c r="BH44" s="90"/>
      <c r="BI44" s="180"/>
    </row>
    <row r="45" spans="1:61" ht="15" customHeight="1" x14ac:dyDescent="0.35">
      <c r="A45" s="15" t="s">
        <v>226</v>
      </c>
      <c r="B45" s="21" t="s">
        <v>342</v>
      </c>
      <c r="C45" s="12" t="s">
        <v>346</v>
      </c>
      <c r="D45" s="16">
        <v>1401301955</v>
      </c>
      <c r="E45" s="11" t="s">
        <v>836</v>
      </c>
      <c r="F45" s="13">
        <v>34146</v>
      </c>
      <c r="G45" s="11">
        <f>2026-1993</f>
        <v>33</v>
      </c>
      <c r="H45" s="2" t="s">
        <v>399</v>
      </c>
      <c r="I45" s="2" t="s">
        <v>44</v>
      </c>
      <c r="J45" s="12" t="s">
        <v>45</v>
      </c>
      <c r="K45" s="2" t="s">
        <v>46</v>
      </c>
      <c r="L45" s="2" t="s">
        <v>46</v>
      </c>
      <c r="M45" s="12" t="s">
        <v>600</v>
      </c>
      <c r="N45" s="2" t="s">
        <v>47</v>
      </c>
      <c r="O45" s="46" t="s">
        <v>809</v>
      </c>
      <c r="P45" s="2" t="s">
        <v>638</v>
      </c>
      <c r="Q45" s="2" t="s">
        <v>397</v>
      </c>
      <c r="R45" s="5">
        <v>45894</v>
      </c>
      <c r="S45" s="5">
        <v>46259</v>
      </c>
      <c r="T45" s="2">
        <v>12</v>
      </c>
      <c r="U45" s="2" t="s">
        <v>632</v>
      </c>
      <c r="AA45" s="2"/>
      <c r="AB45" s="2" t="s">
        <v>805</v>
      </c>
      <c r="AC45" s="2" t="s">
        <v>507</v>
      </c>
      <c r="AD45" s="4">
        <v>40</v>
      </c>
      <c r="AI45" s="12" t="s">
        <v>110</v>
      </c>
      <c r="AJ45" s="2" t="s">
        <v>49</v>
      </c>
      <c r="AK45" s="12" t="s">
        <v>404</v>
      </c>
      <c r="AL45" s="12" t="s">
        <v>78</v>
      </c>
      <c r="AM45" s="12" t="s">
        <v>479</v>
      </c>
      <c r="AN45" s="12" t="s">
        <v>49</v>
      </c>
      <c r="AO45" s="12" t="s">
        <v>419</v>
      </c>
      <c r="AP45" s="12" t="s">
        <v>480</v>
      </c>
      <c r="AQ45" s="12" t="s">
        <v>243</v>
      </c>
      <c r="AR45" s="12" t="s">
        <v>49</v>
      </c>
      <c r="AS45" s="12" t="s">
        <v>423</v>
      </c>
      <c r="AT45" s="12" t="s">
        <v>481</v>
      </c>
      <c r="AU45" s="7">
        <v>48.4</v>
      </c>
      <c r="AV45" s="13">
        <v>46267</v>
      </c>
      <c r="AW45" s="13">
        <v>46267</v>
      </c>
      <c r="AX45" s="13">
        <v>46267</v>
      </c>
      <c r="AY45" s="12"/>
      <c r="AZ45" s="2" t="s">
        <v>51</v>
      </c>
      <c r="BA45" s="2" t="s">
        <v>52</v>
      </c>
      <c r="BB45" s="2" t="s">
        <v>398</v>
      </c>
      <c r="BC45" s="2" t="s">
        <v>397</v>
      </c>
      <c r="BD45" s="43">
        <v>0.5</v>
      </c>
      <c r="BE45" s="4">
        <f t="shared" si="5"/>
        <v>1401301955</v>
      </c>
      <c r="BF45" s="11" t="str">
        <f t="shared" si="5"/>
        <v>EXCCL-4940741</v>
      </c>
      <c r="BG45" s="11"/>
      <c r="BH45" s="90"/>
      <c r="BI45" s="180"/>
    </row>
    <row r="46" spans="1:61" ht="15" customHeight="1" x14ac:dyDescent="0.35">
      <c r="A46" s="15" t="s">
        <v>94</v>
      </c>
      <c r="B46" s="21" t="s">
        <v>345</v>
      </c>
      <c r="C46" s="12" t="s">
        <v>348</v>
      </c>
      <c r="D46" s="16">
        <v>1400357982</v>
      </c>
      <c r="E46" s="11" t="s">
        <v>837</v>
      </c>
      <c r="F46" s="13">
        <v>26413</v>
      </c>
      <c r="G46" s="11">
        <f>2026-1972</f>
        <v>54</v>
      </c>
      <c r="H46" s="2" t="s">
        <v>399</v>
      </c>
      <c r="I46" s="2" t="s">
        <v>44</v>
      </c>
      <c r="J46" s="12" t="s">
        <v>45</v>
      </c>
      <c r="K46" s="2" t="s">
        <v>46</v>
      </c>
      <c r="L46" s="2" t="s">
        <v>46</v>
      </c>
      <c r="M46" s="12" t="s">
        <v>601</v>
      </c>
      <c r="N46" s="2" t="s">
        <v>47</v>
      </c>
      <c r="O46" s="46" t="s">
        <v>810</v>
      </c>
      <c r="P46" s="2" t="s">
        <v>638</v>
      </c>
      <c r="Q46" s="2" t="s">
        <v>397</v>
      </c>
      <c r="R46" s="5">
        <v>45894</v>
      </c>
      <c r="S46" s="5">
        <v>46259</v>
      </c>
      <c r="T46" s="2">
        <v>12</v>
      </c>
      <c r="U46" s="40" t="s">
        <v>630</v>
      </c>
      <c r="Z46" s="41"/>
      <c r="AA46" s="2"/>
      <c r="AB46" s="2" t="s">
        <v>805</v>
      </c>
      <c r="AC46" s="2" t="s">
        <v>507</v>
      </c>
      <c r="AD46" s="4">
        <v>40</v>
      </c>
      <c r="AI46" s="21" t="s">
        <v>90</v>
      </c>
      <c r="AJ46" s="2" t="s">
        <v>49</v>
      </c>
      <c r="AK46" s="12" t="s">
        <v>46</v>
      </c>
      <c r="AL46" s="42" t="s">
        <v>78</v>
      </c>
      <c r="AM46" s="12" t="s">
        <v>245</v>
      </c>
      <c r="AN46" s="12" t="s">
        <v>49</v>
      </c>
      <c r="AO46" s="12" t="s">
        <v>416</v>
      </c>
      <c r="AP46" s="42" t="s">
        <v>482</v>
      </c>
      <c r="AQ46" s="12"/>
      <c r="AR46" s="12"/>
      <c r="AS46" s="12"/>
      <c r="AT46" s="42"/>
      <c r="AU46" s="7">
        <v>48.4</v>
      </c>
      <c r="AV46" s="13">
        <v>46267</v>
      </c>
      <c r="AW46" s="13">
        <v>46267</v>
      </c>
      <c r="AX46" s="13">
        <v>46267</v>
      </c>
      <c r="AY46" s="12"/>
      <c r="AZ46" s="2" t="s">
        <v>51</v>
      </c>
      <c r="BA46" s="2" t="s">
        <v>52</v>
      </c>
      <c r="BB46" s="2" t="s">
        <v>398</v>
      </c>
      <c r="BC46" s="2" t="s">
        <v>397</v>
      </c>
      <c r="BD46" s="43">
        <v>0.5</v>
      </c>
      <c r="BE46" s="4">
        <f t="shared" si="5"/>
        <v>1400357982</v>
      </c>
      <c r="BF46" s="11" t="str">
        <f t="shared" si="5"/>
        <v>EXCCL-845169</v>
      </c>
      <c r="BG46" s="11"/>
      <c r="BH46" s="90"/>
      <c r="BI46" s="180"/>
    </row>
    <row r="47" spans="1:61" ht="15" customHeight="1" x14ac:dyDescent="0.35">
      <c r="A47" s="15" t="s">
        <v>94</v>
      </c>
      <c r="B47" s="21" t="s">
        <v>357</v>
      </c>
      <c r="C47" s="12" t="s">
        <v>360</v>
      </c>
      <c r="D47" s="16">
        <v>1202866727</v>
      </c>
      <c r="E47" s="11" t="s">
        <v>842</v>
      </c>
      <c r="F47" s="13">
        <v>25633</v>
      </c>
      <c r="G47" s="11">
        <f>2026-1970</f>
        <v>56</v>
      </c>
      <c r="H47" s="2" t="s">
        <v>399</v>
      </c>
      <c r="I47" s="2" t="s">
        <v>44</v>
      </c>
      <c r="J47" s="12" t="s">
        <v>45</v>
      </c>
      <c r="K47" s="2" t="s">
        <v>46</v>
      </c>
      <c r="L47" s="2" t="s">
        <v>46</v>
      </c>
      <c r="M47" s="12" t="s">
        <v>606</v>
      </c>
      <c r="N47" s="2" t="s">
        <v>47</v>
      </c>
      <c r="O47" s="46" t="s">
        <v>815</v>
      </c>
      <c r="P47" s="2" t="s">
        <v>638</v>
      </c>
      <c r="Q47" s="2" t="s">
        <v>397</v>
      </c>
      <c r="R47" s="5">
        <v>45894</v>
      </c>
      <c r="S47" s="5">
        <v>46259</v>
      </c>
      <c r="T47" s="2">
        <v>12</v>
      </c>
      <c r="U47" s="40" t="s">
        <v>630</v>
      </c>
      <c r="Z47" s="41"/>
      <c r="AA47" s="2"/>
      <c r="AB47" s="2" t="s">
        <v>805</v>
      </c>
      <c r="AC47" s="2" t="s">
        <v>507</v>
      </c>
      <c r="AD47" s="4">
        <v>40</v>
      </c>
      <c r="AI47" s="21" t="s">
        <v>443</v>
      </c>
      <c r="AJ47" s="2" t="s">
        <v>49</v>
      </c>
      <c r="AK47" s="12" t="s">
        <v>424</v>
      </c>
      <c r="AL47" s="42" t="s">
        <v>78</v>
      </c>
      <c r="AM47" s="12" t="s">
        <v>245</v>
      </c>
      <c r="AN47" s="12" t="s">
        <v>49</v>
      </c>
      <c r="AO47" s="12" t="s">
        <v>416</v>
      </c>
      <c r="AP47" s="42" t="s">
        <v>483</v>
      </c>
      <c r="AQ47" s="12"/>
      <c r="AR47" s="12"/>
      <c r="AS47" s="12"/>
      <c r="AT47" s="42"/>
      <c r="AU47" s="7">
        <v>48.4</v>
      </c>
      <c r="AV47" s="13">
        <v>46267</v>
      </c>
      <c r="AW47" s="13">
        <v>46267</v>
      </c>
      <c r="AX47" s="13">
        <v>46267</v>
      </c>
      <c r="AY47" s="12"/>
      <c r="AZ47" s="2" t="s">
        <v>51</v>
      </c>
      <c r="BA47" s="2" t="s">
        <v>52</v>
      </c>
      <c r="BB47" s="2" t="s">
        <v>398</v>
      </c>
      <c r="BC47" s="2" t="s">
        <v>397</v>
      </c>
      <c r="BD47" s="43">
        <v>0.5</v>
      </c>
      <c r="BE47" s="4">
        <f t="shared" si="5"/>
        <v>1202866727</v>
      </c>
      <c r="BF47" s="11" t="str">
        <f t="shared" si="5"/>
        <v>EXCCL-5235947</v>
      </c>
      <c r="BG47" s="11"/>
      <c r="BH47" s="90"/>
      <c r="BI47" s="180"/>
    </row>
    <row r="48" spans="1:61" ht="15" customHeight="1" x14ac:dyDescent="0.35">
      <c r="A48" s="11"/>
      <c r="B48" s="21" t="s">
        <v>359</v>
      </c>
      <c r="C48" s="12" t="s">
        <v>362</v>
      </c>
      <c r="D48" s="17" t="s">
        <v>363</v>
      </c>
      <c r="E48" s="11" t="s">
        <v>843</v>
      </c>
      <c r="F48" s="13">
        <v>34800</v>
      </c>
      <c r="G48" s="11">
        <f>2026-1995</f>
        <v>31</v>
      </c>
      <c r="H48" s="2" t="s">
        <v>399</v>
      </c>
      <c r="I48" s="2" t="s">
        <v>44</v>
      </c>
      <c r="J48" s="12" t="s">
        <v>45</v>
      </c>
      <c r="K48" s="2" t="s">
        <v>46</v>
      </c>
      <c r="L48" s="2" t="s">
        <v>46</v>
      </c>
      <c r="M48" s="12" t="s">
        <v>607</v>
      </c>
      <c r="N48" s="2" t="s">
        <v>47</v>
      </c>
      <c r="O48" s="46" t="s">
        <v>816</v>
      </c>
      <c r="P48" s="2" t="s">
        <v>638</v>
      </c>
      <c r="Q48" s="2" t="s">
        <v>397</v>
      </c>
      <c r="R48" s="5">
        <v>45894</v>
      </c>
      <c r="S48" s="5">
        <v>46259</v>
      </c>
      <c r="T48" s="2">
        <v>12</v>
      </c>
      <c r="U48" s="40" t="s">
        <v>629</v>
      </c>
      <c r="Z48" s="41"/>
      <c r="AA48" s="2"/>
      <c r="AB48" s="2" t="s">
        <v>805</v>
      </c>
      <c r="AC48" s="2" t="s">
        <v>507</v>
      </c>
      <c r="AD48" s="4">
        <v>40</v>
      </c>
      <c r="AI48" s="21" t="s">
        <v>81</v>
      </c>
      <c r="AJ48" s="2" t="s">
        <v>49</v>
      </c>
      <c r="AK48" s="12" t="s">
        <v>46</v>
      </c>
      <c r="AL48" s="42" t="s">
        <v>189</v>
      </c>
      <c r="AM48" s="12"/>
      <c r="AN48" s="12"/>
      <c r="AO48" s="12"/>
      <c r="AP48" s="42"/>
      <c r="AQ48" s="12"/>
      <c r="AR48" s="12"/>
      <c r="AS48" s="12"/>
      <c r="AT48" s="42"/>
      <c r="AU48" s="7">
        <v>48.4</v>
      </c>
      <c r="AV48" s="13">
        <v>46267</v>
      </c>
      <c r="AW48" s="13">
        <v>46267</v>
      </c>
      <c r="AX48" s="13">
        <v>46267</v>
      </c>
      <c r="AY48" s="12"/>
      <c r="AZ48" s="2" t="s">
        <v>51</v>
      </c>
      <c r="BA48" s="2" t="s">
        <v>52</v>
      </c>
      <c r="BB48" s="2" t="s">
        <v>398</v>
      </c>
      <c r="BC48" s="2" t="s">
        <v>397</v>
      </c>
      <c r="BD48" s="43">
        <v>0.5</v>
      </c>
      <c r="BE48" s="4" t="str">
        <f t="shared" si="5"/>
        <v>1401186968</v>
      </c>
      <c r="BF48" s="11" t="str">
        <f t="shared" si="5"/>
        <v>EXCCL-1797659</v>
      </c>
      <c r="BG48" s="11"/>
      <c r="BH48" s="33"/>
      <c r="BI48" s="180"/>
    </row>
    <row r="49" spans="1:61" ht="15" customHeight="1" x14ac:dyDescent="0.35">
      <c r="A49" s="15" t="s">
        <v>94</v>
      </c>
      <c r="B49" s="21" t="s">
        <v>361</v>
      </c>
      <c r="C49" s="12" t="s">
        <v>365</v>
      </c>
      <c r="D49" s="17" t="s">
        <v>366</v>
      </c>
      <c r="E49" s="11" t="s">
        <v>844</v>
      </c>
      <c r="F49" s="13">
        <v>26011</v>
      </c>
      <c r="G49" s="11">
        <f>2026-1971</f>
        <v>55</v>
      </c>
      <c r="H49" s="2" t="s">
        <v>399</v>
      </c>
      <c r="I49" s="2" t="s">
        <v>44</v>
      </c>
      <c r="J49" s="12" t="s">
        <v>45</v>
      </c>
      <c r="K49" s="2" t="s">
        <v>46</v>
      </c>
      <c r="L49" s="2" t="s">
        <v>46</v>
      </c>
      <c r="M49" s="12" t="s">
        <v>608</v>
      </c>
      <c r="N49" s="2" t="s">
        <v>47</v>
      </c>
      <c r="O49" s="46" t="s">
        <v>817</v>
      </c>
      <c r="P49" s="2" t="s">
        <v>638</v>
      </c>
      <c r="Q49" s="2" t="s">
        <v>397</v>
      </c>
      <c r="R49" s="5">
        <v>45894</v>
      </c>
      <c r="S49" s="5">
        <v>46259</v>
      </c>
      <c r="T49" s="2">
        <v>12</v>
      </c>
      <c r="U49" s="40" t="s">
        <v>630</v>
      </c>
      <c r="Z49" s="41"/>
      <c r="AA49" s="2"/>
      <c r="AB49" s="2" t="s">
        <v>805</v>
      </c>
      <c r="AC49" s="2" t="s">
        <v>507</v>
      </c>
      <c r="AD49" s="4">
        <v>40</v>
      </c>
      <c r="AI49" s="21" t="s">
        <v>250</v>
      </c>
      <c r="AJ49" s="2" t="s">
        <v>49</v>
      </c>
      <c r="AK49" s="12" t="s">
        <v>423</v>
      </c>
      <c r="AL49" s="42" t="s">
        <v>434</v>
      </c>
      <c r="AM49" s="12" t="s">
        <v>231</v>
      </c>
      <c r="AN49" s="12" t="s">
        <v>49</v>
      </c>
      <c r="AO49" s="12" t="s">
        <v>416</v>
      </c>
      <c r="AP49" s="42" t="s">
        <v>231</v>
      </c>
      <c r="AQ49" s="12"/>
      <c r="AR49" s="12"/>
      <c r="AS49" s="12"/>
      <c r="AT49" s="42"/>
      <c r="AU49" s="7">
        <v>48.4</v>
      </c>
      <c r="AV49" s="13">
        <v>46267</v>
      </c>
      <c r="AW49" s="13">
        <v>46267</v>
      </c>
      <c r="AX49" s="13">
        <v>46267</v>
      </c>
      <c r="AY49" s="12"/>
      <c r="AZ49" s="2" t="s">
        <v>51</v>
      </c>
      <c r="BA49" s="2" t="s">
        <v>52</v>
      </c>
      <c r="BB49" s="2" t="s">
        <v>398</v>
      </c>
      <c r="BC49" s="2" t="s">
        <v>397</v>
      </c>
      <c r="BD49" s="43">
        <v>0.5</v>
      </c>
      <c r="BE49" s="4" t="str">
        <f t="shared" si="5"/>
        <v>0102287232</v>
      </c>
      <c r="BF49" s="11" t="str">
        <f t="shared" si="5"/>
        <v>EXCCL-2676199</v>
      </c>
      <c r="BG49" s="11"/>
      <c r="BH49" s="90"/>
      <c r="BI49" s="180"/>
    </row>
    <row r="50" spans="1:61" ht="15" customHeight="1" x14ac:dyDescent="0.35">
      <c r="A50" s="11"/>
      <c r="B50" s="21" t="s">
        <v>371</v>
      </c>
      <c r="C50" s="12" t="s">
        <v>374</v>
      </c>
      <c r="D50" s="17">
        <v>1400673297</v>
      </c>
      <c r="E50" s="86" t="s">
        <v>848</v>
      </c>
      <c r="F50" s="13">
        <v>30382</v>
      </c>
      <c r="G50" s="11">
        <f>2026-1983</f>
        <v>43</v>
      </c>
      <c r="H50" s="2" t="s">
        <v>399</v>
      </c>
      <c r="I50" s="2" t="s">
        <v>44</v>
      </c>
      <c r="J50" s="12" t="s">
        <v>45</v>
      </c>
      <c r="K50" s="2" t="s">
        <v>46</v>
      </c>
      <c r="L50" s="2" t="s">
        <v>46</v>
      </c>
      <c r="M50" s="12" t="s">
        <v>612</v>
      </c>
      <c r="N50" s="2" t="s">
        <v>47</v>
      </c>
      <c r="O50" s="46" t="s">
        <v>821</v>
      </c>
      <c r="P50" s="2" t="s">
        <v>638</v>
      </c>
      <c r="Q50" s="2" t="s">
        <v>397</v>
      </c>
      <c r="R50" s="5">
        <v>45894</v>
      </c>
      <c r="S50" s="5">
        <v>46259</v>
      </c>
      <c r="T50" s="2">
        <v>12</v>
      </c>
      <c r="U50" s="40" t="s">
        <v>629</v>
      </c>
      <c r="Z50" s="41"/>
      <c r="AA50" s="2"/>
      <c r="AB50" s="2" t="s">
        <v>805</v>
      </c>
      <c r="AC50" s="2" t="s">
        <v>507</v>
      </c>
      <c r="AD50" s="4">
        <v>40</v>
      </c>
      <c r="AE50" s="2" t="s">
        <v>626</v>
      </c>
      <c r="AF50" s="2" t="s">
        <v>49</v>
      </c>
      <c r="AG50" s="2" t="s">
        <v>627</v>
      </c>
      <c r="AI50" s="21"/>
      <c r="AJ50" s="12"/>
      <c r="AK50" s="12"/>
      <c r="AL50" s="42"/>
      <c r="AM50" s="12"/>
      <c r="AN50" s="12"/>
      <c r="AO50" s="12"/>
      <c r="AP50" s="42"/>
      <c r="AQ50" s="12"/>
      <c r="AR50" s="12"/>
      <c r="AS50" s="12"/>
      <c r="AT50" s="42"/>
      <c r="AU50" s="7">
        <v>48.4</v>
      </c>
      <c r="AV50" s="13">
        <v>46267</v>
      </c>
      <c r="AW50" s="13">
        <v>46267</v>
      </c>
      <c r="AX50" s="13">
        <v>46267</v>
      </c>
      <c r="AY50" s="12"/>
      <c r="AZ50" s="2" t="s">
        <v>51</v>
      </c>
      <c r="BA50" s="2" t="s">
        <v>52</v>
      </c>
      <c r="BB50" s="2" t="s">
        <v>398</v>
      </c>
      <c r="BC50" s="2" t="s">
        <v>397</v>
      </c>
      <c r="BD50" s="43">
        <v>0.66666666666666663</v>
      </c>
      <c r="BE50" s="4">
        <f t="shared" si="5"/>
        <v>1400673297</v>
      </c>
      <c r="BF50" s="11" t="str">
        <f t="shared" si="5"/>
        <v>EXCCL-465176</v>
      </c>
      <c r="BG50" s="11"/>
      <c r="BH50" s="90"/>
      <c r="BI50" s="180"/>
    </row>
    <row r="51" spans="1:61" ht="15" customHeight="1" x14ac:dyDescent="0.35">
      <c r="A51" s="15" t="s">
        <v>94</v>
      </c>
      <c r="B51" s="21" t="s">
        <v>375</v>
      </c>
      <c r="C51" s="12" t="s">
        <v>378</v>
      </c>
      <c r="D51" s="16">
        <v>1715851794</v>
      </c>
      <c r="E51" s="11" t="s">
        <v>850</v>
      </c>
      <c r="F51" s="13">
        <v>29190</v>
      </c>
      <c r="G51" s="11">
        <f>2026-1979</f>
        <v>47</v>
      </c>
      <c r="H51" s="2" t="s">
        <v>399</v>
      </c>
      <c r="I51" s="2" t="s">
        <v>44</v>
      </c>
      <c r="J51" s="12" t="s">
        <v>45</v>
      </c>
      <c r="K51" s="2" t="s">
        <v>46</v>
      </c>
      <c r="L51" s="2" t="s">
        <v>46</v>
      </c>
      <c r="M51" s="12" t="s">
        <v>614</v>
      </c>
      <c r="N51" s="2" t="s">
        <v>47</v>
      </c>
      <c r="O51" s="46" t="s">
        <v>823</v>
      </c>
      <c r="P51" s="2" t="s">
        <v>638</v>
      </c>
      <c r="Q51" s="2" t="s">
        <v>397</v>
      </c>
      <c r="R51" s="5">
        <v>45894</v>
      </c>
      <c r="S51" s="5">
        <v>46259</v>
      </c>
      <c r="T51" s="2">
        <v>12</v>
      </c>
      <c r="U51" s="40" t="s">
        <v>630</v>
      </c>
      <c r="Z51" s="41"/>
      <c r="AA51" s="2"/>
      <c r="AB51" s="2" t="s">
        <v>805</v>
      </c>
      <c r="AC51" s="2" t="s">
        <v>507</v>
      </c>
      <c r="AD51" s="4">
        <v>40</v>
      </c>
      <c r="AI51" s="21" t="s">
        <v>445</v>
      </c>
      <c r="AJ51" s="2" t="s">
        <v>49</v>
      </c>
      <c r="AK51" s="12" t="s">
        <v>419</v>
      </c>
      <c r="AL51" s="42" t="s">
        <v>78</v>
      </c>
      <c r="AM51" s="12" t="s">
        <v>470</v>
      </c>
      <c r="AN51" s="12" t="s">
        <v>49</v>
      </c>
      <c r="AO51" s="12" t="s">
        <v>419</v>
      </c>
      <c r="AP51" s="42" t="s">
        <v>471</v>
      </c>
      <c r="AQ51" s="12"/>
      <c r="AR51" s="12"/>
      <c r="AS51" s="12"/>
      <c r="AT51" s="42"/>
      <c r="AU51" s="7">
        <v>48.4</v>
      </c>
      <c r="AV51" s="13">
        <v>46267</v>
      </c>
      <c r="AW51" s="13">
        <v>46267</v>
      </c>
      <c r="AX51" s="13">
        <v>46267</v>
      </c>
      <c r="AY51" s="12"/>
      <c r="AZ51" s="2" t="s">
        <v>51</v>
      </c>
      <c r="BA51" s="2" t="s">
        <v>52</v>
      </c>
      <c r="BB51" s="2" t="s">
        <v>398</v>
      </c>
      <c r="BC51" s="2" t="s">
        <v>397</v>
      </c>
      <c r="BD51" s="43">
        <v>0.66666666666666663</v>
      </c>
      <c r="BE51" s="4">
        <f t="shared" si="5"/>
        <v>1715851794</v>
      </c>
      <c r="BF51" s="11" t="str">
        <f t="shared" si="5"/>
        <v>EXCCL-6094313</v>
      </c>
      <c r="BG51" s="11"/>
      <c r="BH51" s="90"/>
      <c r="BI51" s="180"/>
    </row>
    <row r="52" spans="1:61" ht="15" customHeight="1" x14ac:dyDescent="0.35">
      <c r="A52" s="15" t="s">
        <v>94</v>
      </c>
      <c r="B52" s="21" t="s">
        <v>379</v>
      </c>
      <c r="C52" s="12" t="s">
        <v>382</v>
      </c>
      <c r="D52" s="17" t="s">
        <v>383</v>
      </c>
      <c r="E52" s="11" t="s">
        <v>852</v>
      </c>
      <c r="F52" s="13">
        <v>35593</v>
      </c>
      <c r="G52" s="11">
        <f>2026-1997</f>
        <v>29</v>
      </c>
      <c r="H52" s="2" t="s">
        <v>399</v>
      </c>
      <c r="I52" s="2" t="s">
        <v>44</v>
      </c>
      <c r="J52" s="12" t="s">
        <v>45</v>
      </c>
      <c r="K52" s="2" t="s">
        <v>46</v>
      </c>
      <c r="L52" s="2" t="s">
        <v>46</v>
      </c>
      <c r="M52" s="12" t="s">
        <v>616</v>
      </c>
      <c r="N52" s="2" t="s">
        <v>47</v>
      </c>
      <c r="O52" s="46" t="s">
        <v>825</v>
      </c>
      <c r="P52" s="2" t="s">
        <v>638</v>
      </c>
      <c r="Q52" s="2" t="s">
        <v>397</v>
      </c>
      <c r="R52" s="5">
        <v>45894</v>
      </c>
      <c r="S52" s="5">
        <v>46259</v>
      </c>
      <c r="T52" s="2">
        <v>12</v>
      </c>
      <c r="U52" s="40" t="s">
        <v>630</v>
      </c>
      <c r="Z52" s="41"/>
      <c r="AA52" s="2"/>
      <c r="AB52" s="2" t="s">
        <v>805</v>
      </c>
      <c r="AC52" s="2" t="s">
        <v>507</v>
      </c>
      <c r="AD52" s="4">
        <v>40</v>
      </c>
      <c r="AI52" s="21" t="s">
        <v>250</v>
      </c>
      <c r="AJ52" s="2" t="s">
        <v>49</v>
      </c>
      <c r="AK52" s="12" t="s">
        <v>416</v>
      </c>
      <c r="AL52" s="42" t="s">
        <v>446</v>
      </c>
      <c r="AM52" s="12" t="s">
        <v>224</v>
      </c>
      <c r="AN52" s="12" t="s">
        <v>49</v>
      </c>
      <c r="AO52" s="12" t="s">
        <v>416</v>
      </c>
      <c r="AP52" s="42" t="s">
        <v>469</v>
      </c>
      <c r="AQ52" s="12"/>
      <c r="AR52" s="12"/>
      <c r="AS52" s="12"/>
      <c r="AT52" s="42"/>
      <c r="AU52" s="7">
        <v>48.4</v>
      </c>
      <c r="AV52" s="13">
        <v>46267</v>
      </c>
      <c r="AW52" s="13">
        <v>46267</v>
      </c>
      <c r="AX52" s="13">
        <v>46267</v>
      </c>
      <c r="AY52" s="12"/>
      <c r="AZ52" s="2" t="s">
        <v>51</v>
      </c>
      <c r="BA52" s="2" t="s">
        <v>52</v>
      </c>
      <c r="BB52" s="2" t="s">
        <v>398</v>
      </c>
      <c r="BC52" s="2" t="s">
        <v>397</v>
      </c>
      <c r="BD52" s="43">
        <v>0.66666666666666663</v>
      </c>
      <c r="BE52" s="4" t="str">
        <f t="shared" si="5"/>
        <v>0105758296</v>
      </c>
      <c r="BF52" s="11" t="str">
        <f t="shared" si="5"/>
        <v>EXCCL-3118714</v>
      </c>
      <c r="BG52" s="11"/>
      <c r="BH52" s="90"/>
      <c r="BI52" s="180"/>
    </row>
    <row r="53" spans="1:61" ht="15" customHeight="1" x14ac:dyDescent="0.35">
      <c r="A53" s="11"/>
      <c r="B53" s="21" t="s">
        <v>384</v>
      </c>
      <c r="C53" s="12" t="s">
        <v>387</v>
      </c>
      <c r="D53" s="17">
        <v>1400320600</v>
      </c>
      <c r="E53" s="11" t="s">
        <v>854</v>
      </c>
      <c r="F53" s="13">
        <v>27187</v>
      </c>
      <c r="G53" s="11">
        <f>2026-1974</f>
        <v>52</v>
      </c>
      <c r="H53" s="2" t="s">
        <v>399</v>
      </c>
      <c r="I53" s="2" t="s">
        <v>44</v>
      </c>
      <c r="J53" s="12" t="s">
        <v>45</v>
      </c>
      <c r="K53" s="2" t="s">
        <v>46</v>
      </c>
      <c r="L53" s="2" t="s">
        <v>46</v>
      </c>
      <c r="M53" s="12" t="s">
        <v>618</v>
      </c>
      <c r="N53" s="2" t="s">
        <v>47</v>
      </c>
      <c r="O53" s="46" t="s">
        <v>827</v>
      </c>
      <c r="P53" s="2" t="s">
        <v>638</v>
      </c>
      <c r="Q53" s="2" t="s">
        <v>397</v>
      </c>
      <c r="R53" s="5">
        <v>45894</v>
      </c>
      <c r="S53" s="5">
        <v>46259</v>
      </c>
      <c r="T53" s="2">
        <v>12</v>
      </c>
      <c r="U53" s="40" t="s">
        <v>629</v>
      </c>
      <c r="Z53" s="41"/>
      <c r="AA53" s="2"/>
      <c r="AB53" s="2" t="s">
        <v>805</v>
      </c>
      <c r="AC53" s="2" t="s">
        <v>507</v>
      </c>
      <c r="AD53" s="4">
        <v>40</v>
      </c>
      <c r="AI53" s="21" t="s">
        <v>173</v>
      </c>
      <c r="AJ53" s="2" t="s">
        <v>49</v>
      </c>
      <c r="AK53" s="12" t="s">
        <v>492</v>
      </c>
      <c r="AL53" s="42" t="s">
        <v>102</v>
      </c>
      <c r="AM53" s="12"/>
      <c r="AN53" s="12"/>
      <c r="AO53" s="12"/>
      <c r="AP53" s="42"/>
      <c r="AQ53" s="12"/>
      <c r="AR53" s="12"/>
      <c r="AS53" s="12"/>
      <c r="AT53" s="42"/>
      <c r="AU53" s="7">
        <v>48.4</v>
      </c>
      <c r="AV53" s="13">
        <v>46267</v>
      </c>
      <c r="AW53" s="13">
        <v>46267</v>
      </c>
      <c r="AX53" s="13">
        <v>46267</v>
      </c>
      <c r="AY53" s="12"/>
      <c r="AZ53" s="2" t="s">
        <v>51</v>
      </c>
      <c r="BA53" s="2" t="s">
        <v>52</v>
      </c>
      <c r="BB53" s="2" t="s">
        <v>398</v>
      </c>
      <c r="BC53" s="2" t="s">
        <v>397</v>
      </c>
      <c r="BD53" s="43">
        <v>0.66666666666666663</v>
      </c>
      <c r="BE53" s="4">
        <f t="shared" si="5"/>
        <v>1400320600</v>
      </c>
      <c r="BF53" s="11" t="str">
        <f t="shared" si="5"/>
        <v>EXCCL-74788</v>
      </c>
      <c r="BG53" s="11"/>
      <c r="BH53" s="90"/>
      <c r="BI53" s="180"/>
    </row>
    <row r="54" spans="1:61" ht="15" customHeight="1" x14ac:dyDescent="0.35">
      <c r="A54" s="15" t="s">
        <v>94</v>
      </c>
      <c r="B54" s="21" t="s">
        <v>386</v>
      </c>
      <c r="C54" s="12" t="s">
        <v>389</v>
      </c>
      <c r="D54" s="16">
        <v>1401229222</v>
      </c>
      <c r="E54" s="11" t="s">
        <v>855</v>
      </c>
      <c r="F54" s="13">
        <v>34304</v>
      </c>
      <c r="G54" s="11">
        <f>2026-1993</f>
        <v>33</v>
      </c>
      <c r="H54" s="2" t="s">
        <v>399</v>
      </c>
      <c r="I54" s="2" t="s">
        <v>44</v>
      </c>
      <c r="J54" s="12" t="s">
        <v>45</v>
      </c>
      <c r="K54" s="2" t="s">
        <v>46</v>
      </c>
      <c r="L54" s="2" t="s">
        <v>46</v>
      </c>
      <c r="M54" s="12" t="s">
        <v>619</v>
      </c>
      <c r="N54" s="2" t="s">
        <v>47</v>
      </c>
      <c r="O54" s="46" t="s">
        <v>828</v>
      </c>
      <c r="P54" s="2" t="s">
        <v>638</v>
      </c>
      <c r="Q54" s="2" t="s">
        <v>397</v>
      </c>
      <c r="R54" s="5">
        <v>45894</v>
      </c>
      <c r="S54" s="5">
        <v>46259</v>
      </c>
      <c r="T54" s="2">
        <v>12</v>
      </c>
      <c r="U54" s="40" t="s">
        <v>630</v>
      </c>
      <c r="Z54" s="41"/>
      <c r="AA54" s="2"/>
      <c r="AB54" s="2" t="s">
        <v>805</v>
      </c>
      <c r="AC54" s="2" t="s">
        <v>507</v>
      </c>
      <c r="AD54" s="4">
        <v>40</v>
      </c>
      <c r="AI54" s="21" t="s">
        <v>90</v>
      </c>
      <c r="AJ54" s="2" t="s">
        <v>49</v>
      </c>
      <c r="AK54" s="12" t="s">
        <v>46</v>
      </c>
      <c r="AL54" s="42" t="s">
        <v>438</v>
      </c>
      <c r="AM54" s="12" t="s">
        <v>245</v>
      </c>
      <c r="AN54" s="12" t="s">
        <v>49</v>
      </c>
      <c r="AO54" s="12" t="s">
        <v>416</v>
      </c>
      <c r="AP54" s="42" t="s">
        <v>468</v>
      </c>
      <c r="AQ54" s="12"/>
      <c r="AR54" s="12"/>
      <c r="AS54" s="12"/>
      <c r="AT54" s="42"/>
      <c r="AU54" s="7">
        <v>48.4</v>
      </c>
      <c r="AV54" s="13">
        <v>46267</v>
      </c>
      <c r="AW54" s="13">
        <v>46267</v>
      </c>
      <c r="AX54" s="13">
        <v>46267</v>
      </c>
      <c r="AY54" s="12"/>
      <c r="AZ54" s="2" t="s">
        <v>51</v>
      </c>
      <c r="BA54" s="2" t="s">
        <v>52</v>
      </c>
      <c r="BB54" s="2" t="s">
        <v>398</v>
      </c>
      <c r="BC54" s="2" t="s">
        <v>397</v>
      </c>
      <c r="BD54" s="43">
        <v>0.66666666666666663</v>
      </c>
      <c r="BE54" s="4">
        <f t="shared" si="5"/>
        <v>1401229222</v>
      </c>
      <c r="BF54" s="11" t="str">
        <f t="shared" si="5"/>
        <v>EXCCL-336920</v>
      </c>
      <c r="BG54" s="11"/>
      <c r="BH54" s="90"/>
      <c r="BI54" s="180"/>
    </row>
    <row r="55" spans="1:61" ht="15" customHeight="1" x14ac:dyDescent="0.35">
      <c r="A55" s="11" t="s">
        <v>57</v>
      </c>
      <c r="B55" s="34" t="s">
        <v>388</v>
      </c>
      <c r="C55" s="35" t="s">
        <v>391</v>
      </c>
      <c r="D55" s="36">
        <v>1400773865</v>
      </c>
      <c r="E55" s="37" t="s">
        <v>856</v>
      </c>
      <c r="F55" s="79">
        <v>32080</v>
      </c>
      <c r="G55" s="37">
        <f>2026-1987</f>
        <v>39</v>
      </c>
      <c r="H55" s="38" t="s">
        <v>399</v>
      </c>
      <c r="I55" s="38" t="s">
        <v>44</v>
      </c>
      <c r="J55" s="35" t="s">
        <v>45</v>
      </c>
      <c r="K55" s="38" t="s">
        <v>46</v>
      </c>
      <c r="L55" s="38" t="s">
        <v>46</v>
      </c>
      <c r="M55" s="35" t="s">
        <v>620</v>
      </c>
      <c r="N55" s="38" t="s">
        <v>47</v>
      </c>
      <c r="O55" s="75" t="s">
        <v>829</v>
      </c>
      <c r="P55" s="38" t="s">
        <v>638</v>
      </c>
      <c r="Q55" s="38" t="s">
        <v>397</v>
      </c>
      <c r="R55" s="74">
        <v>45894</v>
      </c>
      <c r="S55" s="74">
        <v>46259</v>
      </c>
      <c r="T55" s="38">
        <v>12</v>
      </c>
      <c r="U55" s="76" t="s">
        <v>629</v>
      </c>
      <c r="V55" s="80"/>
      <c r="W55" s="80"/>
      <c r="X55" s="80"/>
      <c r="Y55" s="80"/>
      <c r="Z55" s="81"/>
      <c r="AA55" s="38"/>
      <c r="AB55" s="38" t="s">
        <v>805</v>
      </c>
      <c r="AC55" s="38" t="s">
        <v>507</v>
      </c>
      <c r="AD55" s="45">
        <v>40</v>
      </c>
      <c r="AE55" s="38" t="s">
        <v>626</v>
      </c>
      <c r="AF55" s="38" t="s">
        <v>49</v>
      </c>
      <c r="AG55" s="38" t="s">
        <v>627</v>
      </c>
      <c r="AH55" s="80"/>
      <c r="AI55" s="34"/>
      <c r="AJ55" s="35"/>
      <c r="AK55" s="35"/>
      <c r="AL55" s="82"/>
      <c r="AM55" s="35"/>
      <c r="AN55" s="35"/>
      <c r="AO55" s="35"/>
      <c r="AP55" s="82"/>
      <c r="AQ55" s="35"/>
      <c r="AR55" s="35"/>
      <c r="AS55" s="35"/>
      <c r="AT55" s="82"/>
      <c r="AU55" s="77">
        <v>48.4</v>
      </c>
      <c r="AV55" s="79">
        <v>46267</v>
      </c>
      <c r="AW55" s="79">
        <v>46267</v>
      </c>
      <c r="AX55" s="79">
        <v>46267</v>
      </c>
      <c r="AY55" s="35"/>
      <c r="AZ55" s="38" t="s">
        <v>51</v>
      </c>
      <c r="BA55" s="38" t="s">
        <v>52</v>
      </c>
      <c r="BB55" s="38" t="s">
        <v>398</v>
      </c>
      <c r="BC55" s="38" t="s">
        <v>397</v>
      </c>
      <c r="BD55" s="44">
        <v>0.66666666666666663</v>
      </c>
      <c r="BE55" s="45">
        <f t="shared" si="5"/>
        <v>1400773865</v>
      </c>
      <c r="BF55" s="37" t="str">
        <f t="shared" si="5"/>
        <v>EXCCL-2283657</v>
      </c>
      <c r="BG55" s="37">
        <v>21</v>
      </c>
      <c r="BH55" s="94">
        <v>69</v>
      </c>
      <c r="BI55" s="180"/>
    </row>
  </sheetData>
  <mergeCells count="10">
    <mergeCell ref="BI25:BI55"/>
    <mergeCell ref="AM1:AP1"/>
    <mergeCell ref="P1:U1"/>
    <mergeCell ref="V1:Z1"/>
    <mergeCell ref="AA1:AD1"/>
    <mergeCell ref="AE1:AH1"/>
    <mergeCell ref="AI1:AL1"/>
    <mergeCell ref="AQ1:AT1"/>
    <mergeCell ref="AV1:AY1"/>
    <mergeCell ref="BI3:B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GRUPOS MORONA S</vt:lpstr>
      <vt:lpstr>informe</vt:lpstr>
      <vt:lpstr>ASISTIDOS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Capteec</dc:creator>
  <cp:lastModifiedBy>Secretaria Capteec</cp:lastModifiedBy>
  <dcterms:created xsi:type="dcterms:W3CDTF">2026-07-06T16:34:52Z</dcterms:created>
  <dcterms:modified xsi:type="dcterms:W3CDTF">2026-10-12T14:25:27Z</dcterms:modified>
</cp:coreProperties>
</file>