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yn.luna\Nextcloud\CATEEC-OEC\PROYECTO MORONA SANTIAGO PRC\"/>
    </mc:Choice>
  </mc:AlternateContent>
  <xr:revisionPtr revIDLastSave="0" documentId="13_ncr:1_{9BA91258-7742-4416-9D8E-F8E69E5D6718}" xr6:coauthVersionLast="47" xr6:coauthVersionMax="47" xr10:uidLastSave="{00000000-0000-0000-0000-000000000000}"/>
  <bookViews>
    <workbookView xWindow="-28920" yWindow="-3045" windowWidth="29040" windowHeight="15720" xr2:uid="{CE16A62B-2DEF-452A-9398-4F586639F555}"/>
  </bookViews>
  <sheets>
    <sheet name="GRUPOS MORONA 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63" i="1" l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62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BF61" i="1"/>
  <c r="BE61" i="1"/>
  <c r="G61" i="1"/>
  <c r="BF60" i="1"/>
  <c r="BE60" i="1"/>
  <c r="G60" i="1"/>
  <c r="BF59" i="1"/>
  <c r="BE59" i="1"/>
  <c r="G59" i="1"/>
  <c r="BF58" i="1"/>
  <c r="BE58" i="1"/>
  <c r="G58" i="1"/>
  <c r="BF57" i="1"/>
  <c r="BE57" i="1"/>
  <c r="G57" i="1"/>
  <c r="BF56" i="1"/>
  <c r="BE56" i="1"/>
  <c r="G56" i="1"/>
  <c r="BF55" i="1"/>
  <c r="BE55" i="1"/>
  <c r="G55" i="1"/>
  <c r="BF54" i="1"/>
  <c r="BE54" i="1"/>
  <c r="G54" i="1"/>
  <c r="BF53" i="1"/>
  <c r="BE53" i="1"/>
  <c r="G53" i="1"/>
  <c r="BF52" i="1"/>
  <c r="BE52" i="1"/>
  <c r="G52" i="1"/>
  <c r="BF51" i="1"/>
  <c r="BE51" i="1"/>
  <c r="G51" i="1"/>
  <c r="BF50" i="1"/>
  <c r="BE50" i="1"/>
  <c r="G50" i="1"/>
  <c r="BF49" i="1"/>
  <c r="BE49" i="1"/>
  <c r="G49" i="1"/>
  <c r="BF48" i="1"/>
  <c r="BE48" i="1"/>
  <c r="G48" i="1"/>
  <c r="BF47" i="1"/>
  <c r="BE47" i="1"/>
  <c r="G47" i="1"/>
  <c r="BF46" i="1"/>
  <c r="BE46" i="1"/>
  <c r="G46" i="1"/>
  <c r="BF45" i="1"/>
  <c r="BE45" i="1"/>
  <c r="G45" i="1"/>
  <c r="BF44" i="1"/>
  <c r="BE44" i="1"/>
  <c r="G44" i="1"/>
  <c r="BF43" i="1"/>
  <c r="BE43" i="1"/>
  <c r="G43" i="1"/>
  <c r="BF42" i="1"/>
  <c r="BE42" i="1"/>
  <c r="G42" i="1"/>
  <c r="BF41" i="1"/>
  <c r="BE41" i="1"/>
  <c r="G41" i="1"/>
  <c r="BF40" i="1"/>
  <c r="BE40" i="1"/>
  <c r="G40" i="1"/>
  <c r="BF39" i="1"/>
  <c r="BE39" i="1"/>
  <c r="G39" i="1"/>
  <c r="BF38" i="1"/>
  <c r="BE38" i="1"/>
  <c r="G38" i="1"/>
  <c r="BF37" i="1"/>
  <c r="BE37" i="1"/>
  <c r="G37" i="1"/>
  <c r="BF36" i="1"/>
  <c r="BE36" i="1"/>
  <c r="G36" i="1"/>
  <c r="BF35" i="1"/>
  <c r="BE35" i="1"/>
  <c r="G35" i="1"/>
  <c r="BF34" i="1"/>
  <c r="BE34" i="1"/>
  <c r="G34" i="1"/>
  <c r="BF33" i="1"/>
  <c r="BE33" i="1"/>
  <c r="G33" i="1"/>
  <c r="BF32" i="1"/>
  <c r="BE32" i="1"/>
  <c r="G32" i="1"/>
  <c r="BF31" i="1"/>
  <c r="BE31" i="1"/>
  <c r="G31" i="1"/>
  <c r="BF30" i="1"/>
  <c r="BE30" i="1"/>
  <c r="G30" i="1"/>
  <c r="BF29" i="1"/>
  <c r="BE29" i="1"/>
  <c r="G29" i="1"/>
  <c r="BF28" i="1"/>
  <c r="BE28" i="1"/>
  <c r="G28" i="1"/>
  <c r="BF27" i="1"/>
  <c r="BE27" i="1"/>
  <c r="G27" i="1"/>
  <c r="BF26" i="1"/>
  <c r="BE26" i="1"/>
  <c r="G26" i="1"/>
  <c r="BF25" i="1"/>
  <c r="BE25" i="1"/>
  <c r="G25" i="1"/>
  <c r="BF24" i="1"/>
  <c r="BE24" i="1"/>
  <c r="G24" i="1"/>
  <c r="BF23" i="1"/>
  <c r="BE23" i="1"/>
  <c r="G23" i="1"/>
  <c r="BF22" i="1"/>
  <c r="BE22" i="1"/>
  <c r="G22" i="1"/>
  <c r="BF21" i="1"/>
  <c r="BE21" i="1"/>
  <c r="G21" i="1"/>
  <c r="BF20" i="1"/>
  <c r="BE20" i="1"/>
  <c r="G20" i="1"/>
  <c r="BF19" i="1"/>
  <c r="BE19" i="1"/>
  <c r="G19" i="1"/>
  <c r="BF18" i="1"/>
  <c r="BE18" i="1"/>
  <c r="G18" i="1"/>
  <c r="BF17" i="1"/>
  <c r="BE17" i="1"/>
  <c r="G17" i="1"/>
  <c r="BF16" i="1"/>
  <c r="BE16" i="1"/>
  <c r="G16" i="1"/>
  <c r="BF15" i="1"/>
  <c r="BE15" i="1"/>
  <c r="G15" i="1"/>
  <c r="BF14" i="1"/>
  <c r="BE14" i="1"/>
  <c r="G14" i="1"/>
  <c r="BF13" i="1"/>
  <c r="BE13" i="1"/>
  <c r="G13" i="1"/>
  <c r="BF12" i="1"/>
  <c r="BE12" i="1"/>
  <c r="G12" i="1"/>
  <c r="BF11" i="1"/>
  <c r="BE11" i="1"/>
  <c r="G11" i="1"/>
  <c r="BF10" i="1"/>
  <c r="BE10" i="1"/>
  <c r="G10" i="1"/>
  <c r="BF9" i="1"/>
  <c r="BE9" i="1"/>
  <c r="G9" i="1"/>
  <c r="BF8" i="1"/>
  <c r="BE8" i="1"/>
  <c r="G8" i="1"/>
  <c r="BF7" i="1"/>
  <c r="BE7" i="1"/>
  <c r="G7" i="1"/>
  <c r="BF6" i="1"/>
  <c r="BE6" i="1"/>
  <c r="G6" i="1"/>
  <c r="BF5" i="1"/>
  <c r="BE5" i="1"/>
  <c r="G5" i="1"/>
  <c r="BF4" i="1"/>
  <c r="BE4" i="1"/>
  <c r="G4" i="1"/>
  <c r="BF3" i="1"/>
  <c r="BE3" i="1"/>
  <c r="G3" i="1"/>
</calcChain>
</file>

<file path=xl/sharedStrings.xml><?xml version="1.0" encoding="utf-8"?>
<sst xmlns="http://schemas.openxmlformats.org/spreadsheetml/2006/main" count="2750" uniqueCount="632">
  <si>
    <t>CAPTEEC CENTRO DE CAPACITACIÓN TÉCNICA - EMPRESARIAL &amp; TUTORIAS S.A.S.</t>
  </si>
  <si>
    <t>CAPACITACION</t>
  </si>
  <si>
    <t>PREVENCIÓN DE RIESGOS LABORALES EN ACTIVIDADES DE ALTO RIESGO: CONSTRUCCIÓN Y OBRA CIVIL</t>
  </si>
  <si>
    <t>EXPERIENCIA LABORAL  1</t>
  </si>
  <si>
    <t>EXPERIENCIA LABORAL  2</t>
  </si>
  <si>
    <t>SECUNDARIA</t>
  </si>
  <si>
    <t>SUPERIOR</t>
  </si>
  <si>
    <t>IV NIVEL</t>
  </si>
  <si>
    <t>FECHA Y HORA CERTIFICACION</t>
  </si>
  <si>
    <t>CODIGO</t>
  </si>
  <si>
    <t>APELLIDOS Y NOMBRES</t>
  </si>
  <si>
    <t>CEDULA</t>
  </si>
  <si>
    <t>COD. EXAM</t>
  </si>
  <si>
    <t>F. NACI.</t>
  </si>
  <si>
    <t>EDAD</t>
  </si>
  <si>
    <t>ESTADO</t>
  </si>
  <si>
    <t>PROVINCIA</t>
  </si>
  <si>
    <t>CANTON</t>
  </si>
  <si>
    <t>PARROQUIA</t>
  </si>
  <si>
    <t>DIRECCION</t>
  </si>
  <si>
    <t>CORREO</t>
  </si>
  <si>
    <t>TELEFONO</t>
  </si>
  <si>
    <t>CELULAR</t>
  </si>
  <si>
    <t>EMPRESA</t>
  </si>
  <si>
    <t>F. INICIO</t>
  </si>
  <si>
    <t>F. FIN</t>
  </si>
  <si>
    <t>MES</t>
  </si>
  <si>
    <t>ACTIVIDAD</t>
  </si>
  <si>
    <t>INSITUCION</t>
  </si>
  <si>
    <t>PAIS</t>
  </si>
  <si>
    <t>CIUDAD</t>
  </si>
  <si>
    <t>TITULO</t>
  </si>
  <si>
    <t>COSTO</t>
  </si>
  <si>
    <t>fecha Reg</t>
  </si>
  <si>
    <t>fecha Acep</t>
  </si>
  <si>
    <t>fecha Examinacion</t>
  </si>
  <si>
    <t>Fecha Visualizacion Certificado</t>
  </si>
  <si>
    <t>LUGAR</t>
  </si>
  <si>
    <t>TIPO</t>
  </si>
  <si>
    <t>hora</t>
  </si>
  <si>
    <t>EXAMEN</t>
  </si>
  <si>
    <t>tiempo1 (30)</t>
  </si>
  <si>
    <t>tiempo2 (80)</t>
  </si>
  <si>
    <t>PRC-M001</t>
  </si>
  <si>
    <t>ANTUN TIMIAS CID MAGNO</t>
  </si>
  <si>
    <t xml:space="preserve">MORONA SANTIAGO </t>
  </si>
  <si>
    <t>MORONA</t>
  </si>
  <si>
    <t>MACAS</t>
  </si>
  <si>
    <t>07-9999999</t>
  </si>
  <si>
    <t>COLEGIO PARTICULAR A DISTANCIA SULTANA DEL ORIENTE</t>
  </si>
  <si>
    <t>ECUADOR</t>
  </si>
  <si>
    <t>BACHILLER TÉCNICO EN COMERCIO Y ADMINISTRACIÓN</t>
  </si>
  <si>
    <t>FUERA DEL OEC</t>
  </si>
  <si>
    <t>TALLER</t>
  </si>
  <si>
    <t>PRC-M002</t>
  </si>
  <si>
    <t>APIC NAJANDEY NICOLAS GILBERTO</t>
  </si>
  <si>
    <t>UNIDAD EDUCATIVA COMUNITARIA INTERCULTURAL BILINGÜE ANTONIO SAMANIEGO</t>
  </si>
  <si>
    <t>TÉCNICO AGROPECUARIOS</t>
  </si>
  <si>
    <t>PRI</t>
  </si>
  <si>
    <t>PRC-M003</t>
  </si>
  <si>
    <t>AREVALO AREVALO SEGUNDO AGUSTIN</t>
  </si>
  <si>
    <t>0201275336</t>
  </si>
  <si>
    <t>N</t>
  </si>
  <si>
    <t>PRC-M004</t>
  </si>
  <si>
    <t>CALLE WELLINTON GUILLERMO</t>
  </si>
  <si>
    <t>0300656485</t>
  </si>
  <si>
    <t>PRC-M005</t>
  </si>
  <si>
    <t>CATANI WAMPANKIT MICHEL EDGAR</t>
  </si>
  <si>
    <t>PRC-M006</t>
  </si>
  <si>
    <t>CAYAPA NUNGUICHI JUAN GABRIEL</t>
  </si>
  <si>
    <t>1400560239</t>
  </si>
  <si>
    <t>PRC-M007</t>
  </si>
  <si>
    <t>CAYAPA VARGAS CESAR HUMBERTO</t>
  </si>
  <si>
    <t>PRC-M008</t>
  </si>
  <si>
    <t>CEDEÑO GUZMAN ERICH GERMAN</t>
  </si>
  <si>
    <t>PRC-M009</t>
  </si>
  <si>
    <t>CHIARMACH KAYAP RUSARI CELESTINA</t>
  </si>
  <si>
    <t>1400379119</t>
  </si>
  <si>
    <t>UNIDAD EDUCATIVA PCEI FISCOMISIONAL DR CAMILO GALLEGOS DOMINGUEZ</t>
  </si>
  <si>
    <t>CIENCIAS</t>
  </si>
  <si>
    <t>PRC-M010</t>
  </si>
  <si>
    <t>CHIRIAPA MASHIANT GILSON BERNABE</t>
  </si>
  <si>
    <t>COLEGIO DE BACHILLERATO MACAS</t>
  </si>
  <si>
    <t>TÉCNICO POLIVALENTE</t>
  </si>
  <si>
    <t>PRC-M011</t>
  </si>
  <si>
    <t>CHIRIBOGA BARRERA FERNANDO MARCELO</t>
  </si>
  <si>
    <t>BACHILLER TÉCNICO INDUSTRIAL</t>
  </si>
  <si>
    <t>PRC-M012</t>
  </si>
  <si>
    <t>CHIRIBOGA GARNICA EDWIN ELIAS</t>
  </si>
  <si>
    <t>PRC-M013</t>
  </si>
  <si>
    <t>CHIRIBOGA GARNICA FREDDY JONATAN</t>
  </si>
  <si>
    <t>UNIDAD EDUCATIVA FISCOMISIONAL DON BOSCO</t>
  </si>
  <si>
    <t>PRC-M014</t>
  </si>
  <si>
    <t>DELGADO ATIENCIA LUIS CARLOS</t>
  </si>
  <si>
    <t>0103204640</t>
  </si>
  <si>
    <t>III</t>
  </si>
  <si>
    <t>PRC-M015</t>
  </si>
  <si>
    <t>DIAZ CHUQUIRIMA JORGE VICENTE</t>
  </si>
  <si>
    <t>UNIVERSIDAD NACIONAL DE LOJA</t>
  </si>
  <si>
    <t>TECNOLOGO DE NIVEL SUPERIOR ES LA ESPECIALIDAD DE: TOPOGRAFIA</t>
  </si>
  <si>
    <t>PRC-M016</t>
  </si>
  <si>
    <t>ETSAA TIRIRUK MANAIT MARGARITA</t>
  </si>
  <si>
    <t>COLEGIO FISCOMISIONAL TECNICO INTERCULTURAL BILINGUE TUNA</t>
  </si>
  <si>
    <t>BACHILLER TÉCNICO</t>
  </si>
  <si>
    <t>PRC-M017</t>
  </si>
  <si>
    <t>GALLARDO RODRIGUEZ MARVIN GIOBERTI</t>
  </si>
  <si>
    <t>PRC-M018</t>
  </si>
  <si>
    <t>GOMEZ PARREÑO CLEVER ROBERTO</t>
  </si>
  <si>
    <t>1709345878</t>
  </si>
  <si>
    <t>PRC-M019</t>
  </si>
  <si>
    <t>GUACHICHULCA PEÑAFIEL ELDER GONZALO</t>
  </si>
  <si>
    <t>COLEGIO DE BACHILLERATO FISCOMISIONAL RIO UPANO</t>
  </si>
  <si>
    <t>ESCUELA SUPERIOR POLITECNICA ECOLOGICA AMAZONICA</t>
  </si>
  <si>
    <t>LICENCIADO EN ADMINISTRACION DE EMPRESAS</t>
  </si>
  <si>
    <t>PRC-M020</t>
  </si>
  <si>
    <t>GUAJARE SANCHIMA JAIRO CELIN</t>
  </si>
  <si>
    <t>UNIDAD EDUCATIVA COMUNITARIA INTERCULTURAL BILINGÜE "TUNTA"</t>
  </si>
  <si>
    <t>INSTITUTO SUPERIOR TÉCNICO SHALON</t>
  </si>
  <si>
    <t>TECNICO SUPERIOR EN ADMINISTRACION DE EMPRESAS</t>
  </si>
  <si>
    <t>PRC-M021</t>
  </si>
  <si>
    <t>GUAMAN LUIS ALBERTO</t>
  </si>
  <si>
    <t>0602255887</t>
  </si>
  <si>
    <t>PRC-M022</t>
  </si>
  <si>
    <t>JARAMILLO CARVAJAL YOLANDA CRUZ</t>
  </si>
  <si>
    <t>PRC-M023</t>
  </si>
  <si>
    <t>JARAMILLO RIVADENEIRA ALEJANDRO SEBASTIAN</t>
  </si>
  <si>
    <t>UNIDAD EDUCATIVA FISCOMISIONAL DOMINGO SAVIO</t>
  </si>
  <si>
    <t>BACHILLER TÉCNICO EN AGROPECUARIA</t>
  </si>
  <si>
    <t>PRC-M024</t>
  </si>
  <si>
    <t>JIMENEZ DELGADO JORGE JAIME</t>
  </si>
  <si>
    <t>PRC-M025</t>
  </si>
  <si>
    <t>JUANK SHIKI ETSA DAVID</t>
  </si>
  <si>
    <t>UNIDAD EDUCATIVA EXPERIMENTAL YAMARAM TSAWAA MATRIZ</t>
  </si>
  <si>
    <t>PRC-M026</t>
  </si>
  <si>
    <t>JUWA USHAP JINTIA JORGE</t>
  </si>
  <si>
    <t>UNIDAD EDUCATIVA INTERCULTURAL BILINGÜE SHUAR-ACHUAR "YAMARAM TSAWAA"</t>
  </si>
  <si>
    <t>CONTADOR BACHILLER CIENCIAS DE COMERCIO Y ADMINISTRACIÓN</t>
  </si>
  <si>
    <t>PRC-M027</t>
  </si>
  <si>
    <t>KAASAP TIKIUA NAICHAP CESAR</t>
  </si>
  <si>
    <t>PRC-M028</t>
  </si>
  <si>
    <t>KAJEKAI AMPAM ANKUASH RAMIRO</t>
  </si>
  <si>
    <t>PRC-M029</t>
  </si>
  <si>
    <t>KAJEKAI WAMPUTSAR PEDRO GABRIEL</t>
  </si>
  <si>
    <t>PRC-M030</t>
  </si>
  <si>
    <t>KANIRAS CHUMPI PAUL PATRICIO</t>
  </si>
  <si>
    <t>COLEGIO DE BACHILLERATO FISCO-MISIONAL ACHUAR</t>
  </si>
  <si>
    <t>PRC-M031</t>
  </si>
  <si>
    <t>KANIRAS PITIUR JEMPETS BAYRON</t>
  </si>
  <si>
    <t>PRC-M032</t>
  </si>
  <si>
    <t>KAWARIM WISUM NANKI JORDAN</t>
  </si>
  <si>
    <t>1400981419</t>
  </si>
  <si>
    <t>PRC-M033</t>
  </si>
  <si>
    <t>MACAS TOBAR MANUEL ANDRES</t>
  </si>
  <si>
    <t>PRC-M034</t>
  </si>
  <si>
    <t>MASHIANT KANIRAS ALEXANDRO BARTOLO</t>
  </si>
  <si>
    <t>PRC-M035</t>
  </si>
  <si>
    <t>MAYAK KAYAP PABLO CLAUDIO</t>
  </si>
  <si>
    <t>PRC-M036</t>
  </si>
  <si>
    <t>MERINO CARVAJAL PEDRO PABLO</t>
  </si>
  <si>
    <t>PRC-M037</t>
  </si>
  <si>
    <t>MONTENEGRO JARAMILLO AUGUSTO GABINO</t>
  </si>
  <si>
    <t>PRC-M038</t>
  </si>
  <si>
    <t>MOROCHO MOROCHO JORGE LEONARDO</t>
  </si>
  <si>
    <t>pri</t>
  </si>
  <si>
    <t>PRC-M039</t>
  </si>
  <si>
    <t>MOROCHO PILAMUNGA GONZALO</t>
  </si>
  <si>
    <t>0801864794</t>
  </si>
  <si>
    <t>PRC-M040</t>
  </si>
  <si>
    <t>MUÑOZ HIDALGO EDWIN ROLANDO</t>
  </si>
  <si>
    <t>UNIVERSITARIO JUAN MONTALVO</t>
  </si>
  <si>
    <t>PRC-M041</t>
  </si>
  <si>
    <t>NAWECH ANKUASH JUAN DIEGO</t>
  </si>
  <si>
    <t>PRC-M042</t>
  </si>
  <si>
    <t>NIVELO WASHINGTON OSWALDO</t>
  </si>
  <si>
    <t>UNIDAD EDUCATIVA A DISTANCIA DR CAMILO GALLEGOS DOMINGUEZ</t>
  </si>
  <si>
    <t>PRC-M043</t>
  </si>
  <si>
    <t>PETROCHE ZAMBRANO RAFAEL ANTONIO</t>
  </si>
  <si>
    <t>PRC-M044</t>
  </si>
  <si>
    <t>PUJUPATA NAJANDE ERIK</t>
  </si>
  <si>
    <t>COLEGIO DOCE DE MAYO</t>
  </si>
  <si>
    <t>CONTADOR BACHILLER CONTADOR BACHILLER</t>
  </si>
  <si>
    <t>INSTITUTO SUPERIOR TECNOLÓGICO SUPERARSE</t>
  </si>
  <si>
    <t>TECNICO/A SUPERIOR EN ADMINISTRACION</t>
  </si>
  <si>
    <t>PRC-M045</t>
  </si>
  <si>
    <t>QUISIRUMBAY VARGAS LUIS ISAIAS</t>
  </si>
  <si>
    <t>UNIDAD EDUCATIVA CASCALES</t>
  </si>
  <si>
    <t>PRC-M046</t>
  </si>
  <si>
    <t>RAIGOZA MARTINEZ ROBINZON FERNANDO</t>
  </si>
  <si>
    <t>PRC-M047</t>
  </si>
  <si>
    <t>RIOFRIO BARZOLA LUIGGUI ENRIQUE</t>
  </si>
  <si>
    <t>TÉCNICO EN MECANIZADO Y CONSTRUCCIONES METÁLICAS</t>
  </si>
  <si>
    <t>PRC-M048</t>
  </si>
  <si>
    <t>RIVADENEIRA MANOSALVAS JEFFERSON ALBERTO</t>
  </si>
  <si>
    <t>PRC-M049</t>
  </si>
  <si>
    <t>RODAS JARAMILLO ADRIAN GEOVANNY</t>
  </si>
  <si>
    <t>UNIDAD EDUCATIVA PCEI PARTICULAR SULTANA DEL ORIENTE</t>
  </si>
  <si>
    <t>PRC-M050</t>
  </si>
  <si>
    <t>RODRIGUEZ AVILES RENE JAIME</t>
  </si>
  <si>
    <t>PRC-M051</t>
  </si>
  <si>
    <t>SUAMBRA ANKUASH JOSE FAVIAN</t>
  </si>
  <si>
    <t>PRC-M052</t>
  </si>
  <si>
    <t>TAISH TAISH SHUSHUI RAMON</t>
  </si>
  <si>
    <t>UNIDAD EDUCATIVA INTERCULTURAL BILINGUE TSANTSA</t>
  </si>
  <si>
    <t>PRC-M053</t>
  </si>
  <si>
    <t>TASHAM MASHIAN JACOB EDWIN</t>
  </si>
  <si>
    <t>PRC-M054</t>
  </si>
  <si>
    <t>TIRIRUK WAJAI TENTETS GILBERTO</t>
  </si>
  <si>
    <t>UNIDAD EDUCATIVA COMUNITARIA INTERCULTURAL BILINGÜE "TAKI"</t>
  </si>
  <si>
    <t>PRC-M055</t>
  </si>
  <si>
    <t>TIWIRMA YANKUR JONNY</t>
  </si>
  <si>
    <t>UNIDAD EDUCATIVA HUAMBOYA</t>
  </si>
  <si>
    <t>PRC-M056</t>
  </si>
  <si>
    <t>TSERE SHARUP MASHINKIASH FEDERICO</t>
  </si>
  <si>
    <t>PRC-M057</t>
  </si>
  <si>
    <t>WACHAPA ANKUASH ELVIS IVAN</t>
  </si>
  <si>
    <t>UNIDAD EDUCATIVA FRANCISCO DE ORELLANA</t>
  </si>
  <si>
    <t>PRC-M058</t>
  </si>
  <si>
    <t>WAJUYATA RUIZ FREDY RONALDO</t>
  </si>
  <si>
    <t>UNIDAD EDUCATIVA PALORA</t>
  </si>
  <si>
    <t>PRC-M059</t>
  </si>
  <si>
    <t>WAMPUTSRIK CHIARMACH KUNKUP GRISMALDO</t>
  </si>
  <si>
    <t>TÉCNICO EN CONTABILIDAD Y ADMINISTRACIÓN</t>
  </si>
  <si>
    <t>PRC-M060</t>
  </si>
  <si>
    <t>MOROCHO MAYAGUARI ALVARO ISMAEL</t>
  </si>
  <si>
    <t>0103558565</t>
  </si>
  <si>
    <t>UNIVERSIDAD POLITECNICA SALESIANA</t>
  </si>
  <si>
    <t>INGENIERO DE EJECUCION EN AUTOMOTRIZ</t>
  </si>
  <si>
    <t>IV</t>
  </si>
  <si>
    <t>PRC-M061</t>
  </si>
  <si>
    <t>ASTUDILLO CORDOVA ANGEL DANIEL</t>
  </si>
  <si>
    <t>0103538856</t>
  </si>
  <si>
    <t>UNIDAD EDUCATIVA ABDON CALDERON</t>
  </si>
  <si>
    <t>UNIVERSIDAD DE CUENCA</t>
  </si>
  <si>
    <t>INGENIERO CIVIL</t>
  </si>
  <si>
    <t>FACULTAD LATINOAMERICANA DE CIENCIAS SOCIALES</t>
  </si>
  <si>
    <t>DIPLOMA SUPERIOR EN DISEÑO GESTION Y EVALUACION DE PROYECTOS DE DESARROLLO</t>
  </si>
  <si>
    <t>PRC-M062</t>
  </si>
  <si>
    <t>BARBA CASTRO JULIO BLADIMIR</t>
  </si>
  <si>
    <t>UNIVERSIDAD NACIONAL DE CHIMBORAZO</t>
  </si>
  <si>
    <t>PRC-M063</t>
  </si>
  <si>
    <t>BARRETO OTAVALO JUAN JOSE</t>
  </si>
  <si>
    <t>1400334221</t>
  </si>
  <si>
    <t>PRC-M064</t>
  </si>
  <si>
    <t>BLANDIN AREVALO EDWIN FERNANDO</t>
  </si>
  <si>
    <t>UNIVERSIDAD DEL AZUAY</t>
  </si>
  <si>
    <t>INGENIERO CIVIL CON ENFASIS EN GERENCIA DE CONSTRUCCIONES</t>
  </si>
  <si>
    <t>UNIVERSIDAD CATOLICA DE CUENCA</t>
  </si>
  <si>
    <t>MAGISTER EN CONSTRUCCIONES MENCIÓN EN ADMINISTRACION DE LA CONSTRUCCION SUSTENTABLE</t>
  </si>
  <si>
    <t>PRC-M065</t>
  </si>
  <si>
    <t>BURBANO LOPEZ ANDY ALEJANDRO</t>
  </si>
  <si>
    <t>0106646995</t>
  </si>
  <si>
    <t>UNIDAD EDUCATIVA FISCOMISIONAL TÉCNICO SALESIANO</t>
  </si>
  <si>
    <t>TÉCNICO INDUSTRIALES</t>
  </si>
  <si>
    <t>PRC-M066</t>
  </si>
  <si>
    <t>CABRERA RODRIGUEZ JHONY JAVIER</t>
  </si>
  <si>
    <t>UNIDAD EDUCATIVA FISCOMISIONAL AGRONÓMICO SALESIANO</t>
  </si>
  <si>
    <t>PRC-M067</t>
  </si>
  <si>
    <t>CAIVINAGUA INGA JOEL MODESTO</t>
  </si>
  <si>
    <t>0102617438</t>
  </si>
  <si>
    <t>PRC-M068</t>
  </si>
  <si>
    <t>JERVES ZAMBRANO CARLOS ANDRES</t>
  </si>
  <si>
    <t>0104121827</t>
  </si>
  <si>
    <t>INGENIERO ELECTRONICO</t>
  </si>
  <si>
    <t>UNIVERSIDAD INTERNACIONAL DE LA RIOJA</t>
  </si>
  <si>
    <t>MASTER UNIVERSITARIO EN DISEÑO Y GESTION DE PROYECTOS TECNOLOGICOS</t>
  </si>
  <si>
    <t>PRC-M069</t>
  </si>
  <si>
    <t>CASTRO VIMOS JHOANA ALEXANDRA</t>
  </si>
  <si>
    <t>LICENCIADA EN TRABAJO Y SERVICIO SOCIAL</t>
  </si>
  <si>
    <t>PRC-M070</t>
  </si>
  <si>
    <t>CATANI CHANGOLUISA BYRON PATRICIO</t>
  </si>
  <si>
    <t>0704422773</t>
  </si>
  <si>
    <t>ESCUELA SUPERIOR POLITECNICA DE CHIMBORAZO</t>
  </si>
  <si>
    <t>MEDICO GENERAL</t>
  </si>
  <si>
    <t>PRC-M071</t>
  </si>
  <si>
    <t>CHAMIKIAR KAYAP WILMER RIVALDO</t>
  </si>
  <si>
    <t>LICENCIADO/A EN ADMINISTRACION DE EMPRESAS</t>
  </si>
  <si>
    <t>PRC-M072</t>
  </si>
  <si>
    <t>CONFORME GARCIA JONATHAN MANUEL</t>
  </si>
  <si>
    <t>UNIVERSIDAD TECNICA ESTATAL DE QUEVEDO</t>
  </si>
  <si>
    <t>INGENIERO EN SEGURIDAD INDUSTRIAL Y SALUD OCUPACIONAL</t>
  </si>
  <si>
    <t>PRC-M073</t>
  </si>
  <si>
    <t>GUAMAN TRUJILLO CRISTIAN DAVID</t>
  </si>
  <si>
    <t>0603889452</t>
  </si>
  <si>
    <t>INGENIERO AUTOMOTRIZ</t>
  </si>
  <si>
    <t>MASTER UNIVERSITARIO EN DIRECCION Y ADMINISTRACION DE EMPRESAS / MASTER IN BUSINESS ADMINISTRATION (MBA)</t>
  </si>
  <si>
    <t>PRC-M074</t>
  </si>
  <si>
    <t>ORTIZ JARAMILLO DAMARY LIZZETE</t>
  </si>
  <si>
    <t>1400762397</t>
  </si>
  <si>
    <t>INGENIERA MECANICO AUTOMOTRIZ</t>
  </si>
  <si>
    <t>PRC-M075</t>
  </si>
  <si>
    <t>DELGADO VINTIMILLA DIEGO SANTIAGO</t>
  </si>
  <si>
    <t>0104516026</t>
  </si>
  <si>
    <t>INGENIERO DE SISTEMAS</t>
  </si>
  <si>
    <t>PRC-M076</t>
  </si>
  <si>
    <t>CHACHA BORJA DIEGO RAMIRO</t>
  </si>
  <si>
    <t>1400702302</t>
  </si>
  <si>
    <t>PRC-M077</t>
  </si>
  <si>
    <t>MARIN CAMBIZACA DORIAN JULIO</t>
  </si>
  <si>
    <t>1401065790</t>
  </si>
  <si>
    <t>PRC-M078</t>
  </si>
  <si>
    <t>SERRANO ZUÑIGA EDGAR FERNANDO</t>
  </si>
  <si>
    <t>0103356408</t>
  </si>
  <si>
    <t>PRC-M079</t>
  </si>
  <si>
    <t>PATIÑO ARMIJOS EDISON CARLOS</t>
  </si>
  <si>
    <t>1104892037</t>
  </si>
  <si>
    <t>PRC-M080</t>
  </si>
  <si>
    <t>BUENAÑO NAULA EDWIN JOFFRE</t>
  </si>
  <si>
    <t>1600462590</t>
  </si>
  <si>
    <t>PRC-M081</t>
  </si>
  <si>
    <t>LOPEZ CAMPOVERDE EDWIN PATRICIO</t>
  </si>
  <si>
    <t>1400567200</t>
  </si>
  <si>
    <t>PRC-M082</t>
  </si>
  <si>
    <t>ARIAS ROJAS EVELYN MAYTE</t>
  </si>
  <si>
    <t>1400714851</t>
  </si>
  <si>
    <t>PRC-M083</t>
  </si>
  <si>
    <t>FAREZ YUQUI NELSON JAVIER</t>
  </si>
  <si>
    <t>PRC-M084</t>
  </si>
  <si>
    <t>PUENTE PIÑA FRANK ALEXANDER</t>
  </si>
  <si>
    <t>1400733810</t>
  </si>
  <si>
    <t>PRC-M085</t>
  </si>
  <si>
    <t>RODRIGUEZ CALLE FREDI ALBERTO</t>
  </si>
  <si>
    <t>0301713723</t>
  </si>
  <si>
    <t>PRC-M086</t>
  </si>
  <si>
    <t>GRANDA LEON ROGER STEVE</t>
  </si>
  <si>
    <t>PRC-M087</t>
  </si>
  <si>
    <t>JIMBIQUITE VILLARREAL CRISTOFHER FERNANDO</t>
  </si>
  <si>
    <t>PRC-M088</t>
  </si>
  <si>
    <t>JIRON TITUANA VICENTE JAVIER</t>
  </si>
  <si>
    <t>0704517408</t>
  </si>
  <si>
    <t>PRC-M089</t>
  </si>
  <si>
    <t>LOZANO LOJANO JUAN PABLO</t>
  </si>
  <si>
    <t>1400723472</t>
  </si>
  <si>
    <t>PRC-M090</t>
  </si>
  <si>
    <t>CARDENAS LUNA KAROL EUGENIA</t>
  </si>
  <si>
    <t>1400777171</t>
  </si>
  <si>
    <t>PRC-M091</t>
  </si>
  <si>
    <t>MEJIA MATUTE KEVYN ROBERTH</t>
  </si>
  <si>
    <t>1400968721</t>
  </si>
  <si>
    <t>PRC-M092</t>
  </si>
  <si>
    <t>LOJANO DUCHITANGA JENNY ELIZABETH</t>
  </si>
  <si>
    <t>PRC-M093</t>
  </si>
  <si>
    <t>QUISIRUMBAY RUIZ LUIS DOUGLAS</t>
  </si>
  <si>
    <t>1400891352</t>
  </si>
  <si>
    <t>PRC-M094</t>
  </si>
  <si>
    <t>MERCHAN LUNA LUIS MIGUEL</t>
  </si>
  <si>
    <t>1400615439</t>
  </si>
  <si>
    <t>PRC-M095</t>
  </si>
  <si>
    <t>MADERO VILLALTA GEOVANNA ELIZABETH</t>
  </si>
  <si>
    <t>PRC-M096</t>
  </si>
  <si>
    <t>MEDINA JARAMILLO EDWIN MARCELO</t>
  </si>
  <si>
    <t>PRC-M097</t>
  </si>
  <si>
    <t>MONTENEGRO PALACIOS DAVID HERNAN</t>
  </si>
  <si>
    <t>0107138786</t>
  </si>
  <si>
    <t>PRC-M098</t>
  </si>
  <si>
    <t>NANTIP PAPUE PAUL GREGORIO</t>
  </si>
  <si>
    <t>1400962971</t>
  </si>
  <si>
    <t>PRC-M099</t>
  </si>
  <si>
    <t>PALACIOS JARAMILLO WILFRIDO ANDRES</t>
  </si>
  <si>
    <t>PRC-M100</t>
  </si>
  <si>
    <t>PAPUE PATTI GILBERTO CESAR</t>
  </si>
  <si>
    <t>PRC-M101</t>
  </si>
  <si>
    <t>PEÑAFIEL RAMIREZ BYRON ADRIAN</t>
  </si>
  <si>
    <t>PRC-M102</t>
  </si>
  <si>
    <t>PUGLLA ORDOÑEZ HERNAN ORLANDO</t>
  </si>
  <si>
    <t>1401186968</t>
  </si>
  <si>
    <t>PRC-M103</t>
  </si>
  <si>
    <t>REIBAN QUITO HUGO FERNANDO</t>
  </si>
  <si>
    <t>0102287232</t>
  </si>
  <si>
    <t>PRC-M104</t>
  </si>
  <si>
    <t>RIVADENEIRA JARAMILLO JORGE JAVIER</t>
  </si>
  <si>
    <t>PRC-M105</t>
  </si>
  <si>
    <t>RIVADENEIRA ORTIZ RHONNY SANTIAGO</t>
  </si>
  <si>
    <t>PRC-M106</t>
  </si>
  <si>
    <t>SALINAS LEON JAIME OLIVERIO</t>
  </si>
  <si>
    <t>PRC-M107</t>
  </si>
  <si>
    <t>SHIKI ASAMAT ARUTAM SAMUEL</t>
  </si>
  <si>
    <t>PRC-M108</t>
  </si>
  <si>
    <t>SHUIR YURANGUI MARIO FERNANDO</t>
  </si>
  <si>
    <t>PRC-M109</t>
  </si>
  <si>
    <t>TAPIA ORBEA JUAN JOSE</t>
  </si>
  <si>
    <t>PRC-M110</t>
  </si>
  <si>
    <t>UNKUCH KUNKUMAS ALEX PATRICIO</t>
  </si>
  <si>
    <t>PRC-M111</t>
  </si>
  <si>
    <t>VAZQUEZ GALLEGOS JOSE ANDRES</t>
  </si>
  <si>
    <t>0105758296</t>
  </si>
  <si>
    <t>PRC-M112</t>
  </si>
  <si>
    <t>WACHAPA AYUY MARIO IVAN</t>
  </si>
  <si>
    <t>PRC-M113</t>
  </si>
  <si>
    <t>WACHAPA MASHIANT SHAUK REBECA</t>
  </si>
  <si>
    <t>PRC-M114</t>
  </si>
  <si>
    <t>WACHAPA WACHAPA HERNAN SAMUEL</t>
  </si>
  <si>
    <t>PRC-M115</t>
  </si>
  <si>
    <t>YAMASQUI ANGAMARCA GALO EDMUNDO</t>
  </si>
  <si>
    <t>PRC-M116</t>
  </si>
  <si>
    <t>YANKUR NAYAP MARCELINO</t>
  </si>
  <si>
    <t>PRC-M117</t>
  </si>
  <si>
    <t>ZABALA RIVADENEIRA EDGAR RAMIRO</t>
  </si>
  <si>
    <t>PRC-M118</t>
  </si>
  <si>
    <t>ZAMARENO QUIZHPE BOLIVAR EDUARDO</t>
  </si>
  <si>
    <t>Simón Bolívar, entre las calles 24 de Mayo y 9 de Octubre</t>
  </si>
  <si>
    <t>MORONA SANTIAGO</t>
  </si>
  <si>
    <t>SOLTERO</t>
  </si>
  <si>
    <t>EXTRANJERO</t>
  </si>
  <si>
    <t>MACUMA</t>
  </si>
  <si>
    <t xml:space="preserve">NUEVA LOJA </t>
  </si>
  <si>
    <t>MONTALVO</t>
  </si>
  <si>
    <t>SUCÚA</t>
  </si>
  <si>
    <t xml:space="preserve">SAN BOSCO </t>
  </si>
  <si>
    <t xml:space="preserve">GUAYAQUIL </t>
  </si>
  <si>
    <t>TAISHA</t>
  </si>
  <si>
    <t xml:space="preserve">DON BOSCO </t>
  </si>
  <si>
    <t>AMBAO</t>
  </si>
  <si>
    <t xml:space="preserve">PUYO </t>
  </si>
  <si>
    <t>LOJA</t>
  </si>
  <si>
    <t xml:space="preserve">GUALAQUIZA </t>
  </si>
  <si>
    <t>HUAMBOYA</t>
  </si>
  <si>
    <t xml:space="preserve">EL COCA </t>
  </si>
  <si>
    <t>PALORA</t>
  </si>
  <si>
    <t>CUENCA</t>
  </si>
  <si>
    <t xml:space="preserve">PAUTE </t>
  </si>
  <si>
    <t>TENA</t>
  </si>
  <si>
    <t>QUITO</t>
  </si>
  <si>
    <t xml:space="preserve">RIOBAMBA </t>
  </si>
  <si>
    <t xml:space="preserve">ECUADOR </t>
  </si>
  <si>
    <t xml:space="preserve">ESPAÑA </t>
  </si>
  <si>
    <t xml:space="preserve">CUENCA </t>
  </si>
  <si>
    <t>QUEVEDO</t>
  </si>
  <si>
    <t>TÉCNICO EN AGROPECUARIA</t>
  </si>
  <si>
    <t>INSTITUTO TECNOLOGICO SUPERIOR FRANCISCO FEBRES CORDERO</t>
  </si>
  <si>
    <t>TÉCNICO EN COMERCIO Y ADMINISTRACIÓN</t>
  </si>
  <si>
    <t>UNIDAD EDUCATIVA ALFREDO PEREZ CHIRIBOGA</t>
  </si>
  <si>
    <t>UNIDAD EDUCATIVA TAISHA</t>
  </si>
  <si>
    <t>COLEGIO DE BACHILLERATO CAMILO GALLEGOS TOLEDO</t>
  </si>
  <si>
    <t>UNIDAD EDUCATIVA TEMPORAL JAVERIANO</t>
  </si>
  <si>
    <t>UNIDAD EDUCATIVA DON BOSCO</t>
  </si>
  <si>
    <t>UNIDAD EDUCATIVA TEMPORAL LUIS ROGERIO GONZALEZ</t>
  </si>
  <si>
    <t>TÉCNICO INDUSTRIAL</t>
  </si>
  <si>
    <t>COLEGIO DE BACHILLERATO PARTICULAR PRESIDENTE CORDERO</t>
  </si>
  <si>
    <t>INSTITUTO TECNOLOGICO SUPERIOR EL ORO</t>
  </si>
  <si>
    <t>UNIDAD EDUCATIVA 12 DE FEBRERO</t>
  </si>
  <si>
    <t>CONTADOR BACHILLER</t>
  </si>
  <si>
    <t>UNIDAD EDUCATIVA PARTICULAR EMANUEL</t>
  </si>
  <si>
    <t>UNIDAD EDUCATIVA FISCOMISIONAL INTERCULTURAL BILINGÜE "ETSA"</t>
  </si>
  <si>
    <t>UNIDAD EDUCATIVA FISCOMISIONAL MARIA AUXILIADORA</t>
  </si>
  <si>
    <t>TÉCNICO POLIVALENTE EN ADMINISTRACIÓN</t>
  </si>
  <si>
    <t>UNIDAD EDUCATIVA AMERICA</t>
  </si>
  <si>
    <t>UNIDAD EDUCATIVA PCEI REPÚBLICA DE ARGENTINA</t>
  </si>
  <si>
    <t xml:space="preserve">UNIDAD EDUCATIVA JUAN PIO MONTUFAR </t>
  </si>
  <si>
    <t>TÉCNICO DE SERVICIOS</t>
  </si>
  <si>
    <t>U ED DR CAMILO GALLEGOS DOMINGUEZ EXTENSION EBENEZER</t>
  </si>
  <si>
    <t>UNIDAD EDUCATIVA PCEI “EVEREST”</t>
  </si>
  <si>
    <t>UNIDAD EDUCATIVA “CAMILO GALLEGOS DOMÍNGUEZ”</t>
  </si>
  <si>
    <t>UNIDAD EDUCATIVA FISCOMISIONAL RÍO UPANO</t>
  </si>
  <si>
    <t>INGENIERO EN GEOLOGIA Y MINAS</t>
  </si>
  <si>
    <t>INGENIERO AGRONOMO</t>
  </si>
  <si>
    <t>UNIVERSIDAD TECNOLOGICA INDOAMERICA</t>
  </si>
  <si>
    <t>MAGISTER EN GESTION DE PROYECTOS SOCIO PRODUCTIVOS</t>
  </si>
  <si>
    <t>UNIVERSIDAD TECNICA PARTICULAR DE LOJA</t>
  </si>
  <si>
    <t>UNIVERSIDAD ESTATAL AMAZONICA</t>
  </si>
  <si>
    <t>INGENIERO AMBIENTAL</t>
  </si>
  <si>
    <t>UNIVERSIDAD TECNICA DE AMBATO</t>
  </si>
  <si>
    <t>INGENIERA CIVIL CON ENFASIS EN GERENCIA DE CONSTRUCCIONES</t>
  </si>
  <si>
    <t>MASTER UNIVERSITARIO EN HERRAMIENTAS Y TECNOLOGIAS PARA EL DISEÑO DE ESPACIOS ARQUITECTONICOS INTELIGENTES</t>
  </si>
  <si>
    <t>UNIVERSIDAD DE GUAYAQUIL</t>
  </si>
  <si>
    <t>ESCUELA POLITECNICA JAVERIANA DEL ECUADOR</t>
  </si>
  <si>
    <t>INGENIERO EN MECANICA AUTOMOTRIZ</t>
  </si>
  <si>
    <t>INSTITUTO TECNOLÓGICO SUPERIOR EL ORO</t>
  </si>
  <si>
    <t>TECNOLOGO EN ELECTRICIDAD</t>
  </si>
  <si>
    <t>UNIVERSIDAD INTERCULTURAL DE LAS NACIONALIDADES Y PUEBLOS INDIGENAS AMAWTAY WASI</t>
  </si>
  <si>
    <t>LICENCIADO EN CIENCIAS DE LA EDUCACION CON MENCION EN PEDAGOGIA INTERCULTURAL</t>
  </si>
  <si>
    <t>ECONOMISTA</t>
  </si>
  <si>
    <t>INGENIERO/A CIVIL</t>
  </si>
  <si>
    <t>ESCUELA POLITECNICA NACIONAL</t>
  </si>
  <si>
    <t>INGENIERO MECANICO</t>
  </si>
  <si>
    <t>INGENIERO AMBIENTAL Y EN CONSTRUCCIONES ECOLOGICAS</t>
  </si>
  <si>
    <t>INGENIERA AMBIENTAL Y EN CONSTRUCCIONES ECOLOGICAS</t>
  </si>
  <si>
    <t>INGENIERO DE ALIMENTOS</t>
  </si>
  <si>
    <t>SICOLOGA CLINICA</t>
  </si>
  <si>
    <t>UNIVERSIDAD DE LAS AMERICAS</t>
  </si>
  <si>
    <t>MAGISTER EN PSICOTERAPIA</t>
  </si>
  <si>
    <t>INGENIERO MECANICO AUTOMOTRIZ</t>
  </si>
  <si>
    <t>UNIVERSIDAD CENTRAL DEL ECUADOR</t>
  </si>
  <si>
    <t>INGENIERA CIVIL</t>
  </si>
  <si>
    <t>MAGISTER EN HIDROSANITARIA</t>
  </si>
  <si>
    <t>INGENIERO EMPRESARIAL</t>
  </si>
  <si>
    <t>DOCTOR EN MEDICINA Y CIRUGIA</t>
  </si>
  <si>
    <t>PONTIFICIA UNIVERSIDAD CATOLICA DEL ECUADOR</t>
  </si>
  <si>
    <t>GUAYAQUIL</t>
  </si>
  <si>
    <t>PUYO</t>
  </si>
  <si>
    <t>GUALEA</t>
  </si>
  <si>
    <t>AMBATO</t>
  </si>
  <si>
    <t xml:space="preserve">LOJA </t>
  </si>
  <si>
    <t xml:space="preserve">EL ORO </t>
  </si>
  <si>
    <t>BIBLIÁN</t>
  </si>
  <si>
    <t>LAGO AGRIO</t>
  </si>
  <si>
    <t xml:space="preserve">LAGO AGRIO </t>
  </si>
  <si>
    <t>AZOGUES</t>
  </si>
  <si>
    <t>SANTIAGO DE MÉNDEZ</t>
  </si>
  <si>
    <t>ZAMORA</t>
  </si>
  <si>
    <t>MACHALA</t>
  </si>
  <si>
    <t>BOMBOIZA</t>
  </si>
  <si>
    <t>LA MANÁ</t>
  </si>
  <si>
    <t>DIRECCIÓN</t>
  </si>
  <si>
    <t>CAPACITACIÓN</t>
  </si>
  <si>
    <t>CURSO</t>
  </si>
  <si>
    <t>INSTITUCIÓN</t>
  </si>
  <si>
    <t>FECHAS.CURSO</t>
  </si>
  <si>
    <t>HORAS.CURSO</t>
  </si>
  <si>
    <t>CENTRO DE CAPACITACIONES PROFESIONALES DEL ECUADOR</t>
  </si>
  <si>
    <t>Desde el 06 hasta el 10 de julio de 2026</t>
  </si>
  <si>
    <t>NAHALY OLAYA GERENTE DE CPROEC S.A.S</t>
  </si>
  <si>
    <t>magno.antun@gmail.com</t>
  </si>
  <si>
    <t>nicolas.apic@gmail.com</t>
  </si>
  <si>
    <t>segundo.arevalo@gmail.com</t>
  </si>
  <si>
    <t>wellinton.calle@gmail.com</t>
  </si>
  <si>
    <t>michel.catani@gmail.com</t>
  </si>
  <si>
    <t>juan.cayapa@gmail.com</t>
  </si>
  <si>
    <t>cesar.cayapa@gmail.com</t>
  </si>
  <si>
    <t>erich.cedeño@gmail.com</t>
  </si>
  <si>
    <t>rusari.chiarmach@gmail.com</t>
  </si>
  <si>
    <t>gilson.chiriapa@gmail.com</t>
  </si>
  <si>
    <t>fernando.chiriboga@gmail.com</t>
  </si>
  <si>
    <t>edwin.chiriboga@gmail.com</t>
  </si>
  <si>
    <t>freddy.chiriboga@gmail.com</t>
  </si>
  <si>
    <t>luis.delgado@gmail.com</t>
  </si>
  <si>
    <t>jorge.diaz@gmail.com</t>
  </si>
  <si>
    <t>margarita.etsaa@gmail.com</t>
  </si>
  <si>
    <t>marvin.gallardo@gmail.com</t>
  </si>
  <si>
    <t>clever.gomez@gmail.com</t>
  </si>
  <si>
    <t>elder.guachichulca@gmail.com</t>
  </si>
  <si>
    <t>jairo.guajare@gmail.com</t>
  </si>
  <si>
    <t>alberto.guaman@gmail.com</t>
  </si>
  <si>
    <t>yolanda.jaramillo@gmail.com</t>
  </si>
  <si>
    <t>alejandro.jaramillo@gmail.com</t>
  </si>
  <si>
    <t>jorge.jimenez@gmail.com</t>
  </si>
  <si>
    <t>david.juank@gmail.com</t>
  </si>
  <si>
    <t>jorge.juwa@gmail.com</t>
  </si>
  <si>
    <t>cesar.kaasap@gmail.com</t>
  </si>
  <si>
    <t>ramiro.kajekai@gmail.com</t>
  </si>
  <si>
    <t>pedro.kajekai@gmail.com</t>
  </si>
  <si>
    <t>paul.kaniras@gmail.com</t>
  </si>
  <si>
    <t>bayron.kaniras@gmail.com</t>
  </si>
  <si>
    <t>jordan.kawarim@gmail.com</t>
  </si>
  <si>
    <t>manuel.macas@gmail.com</t>
  </si>
  <si>
    <t>alexandro.mashiant@gmail.com</t>
  </si>
  <si>
    <t>pablo.mayak@gmail.com</t>
  </si>
  <si>
    <t>pedro.merino@gmail.com</t>
  </si>
  <si>
    <t>augusto.montenegro@gmail.com</t>
  </si>
  <si>
    <t>jorge.morocho@gmail.com</t>
  </si>
  <si>
    <t>gonzalo.morocho@gmail.com</t>
  </si>
  <si>
    <t>edwin.muñoz@gmail.com</t>
  </si>
  <si>
    <t>juan.nawech@gmail.com</t>
  </si>
  <si>
    <t>washington.nivelo@gmail.com</t>
  </si>
  <si>
    <t>rafael.petroche@gmail.com</t>
  </si>
  <si>
    <t>erik.pujupata@gmail.com</t>
  </si>
  <si>
    <t>luis.quisirumbay@gmail.com</t>
  </si>
  <si>
    <t>robinzon.raigoza@gmail.com</t>
  </si>
  <si>
    <t>luiggui.riofrio@gmail.com</t>
  </si>
  <si>
    <t>jefferson.rivadeneira@gmail.com</t>
  </si>
  <si>
    <t>adrian.rodas@gmail.com</t>
  </si>
  <si>
    <t>rene.rodriguez@gmail.com</t>
  </si>
  <si>
    <t>jose.suambra@gmail.com</t>
  </si>
  <si>
    <t>ramon.taish@gmail.com</t>
  </si>
  <si>
    <t>jacob.tasham@gmail.com</t>
  </si>
  <si>
    <t>gilberto.tiriruk@gmail.com</t>
  </si>
  <si>
    <t>jonny.tiwirma@gmail.com</t>
  </si>
  <si>
    <t>federico.tsere@gmail.com</t>
  </si>
  <si>
    <t>elvis.wachapa@gmail.com</t>
  </si>
  <si>
    <t>fredy.wajuyata@gmail.com</t>
  </si>
  <si>
    <t>grismaldo.wamputsrik@gmail.com</t>
  </si>
  <si>
    <t>alvaro.morocho@gmail.com</t>
  </si>
  <si>
    <t>angel.astudillo@gmail.com</t>
  </si>
  <si>
    <t>julio.barba@gmail.com</t>
  </si>
  <si>
    <t>juan.barreto@gmail.com</t>
  </si>
  <si>
    <t>edwin.blandin@gmail.com</t>
  </si>
  <si>
    <t>andy.burbano@gmail.com</t>
  </si>
  <si>
    <t>jhony.cabrera@gmail.com</t>
  </si>
  <si>
    <t>joel.caivinagua@gmail.com</t>
  </si>
  <si>
    <t>carlos.jerves@gmail.com</t>
  </si>
  <si>
    <t>jhoana.castro@gmail.com</t>
  </si>
  <si>
    <t>byron.catani@gmail.com</t>
  </si>
  <si>
    <t>wilmer.chamikiar@gmail.com</t>
  </si>
  <si>
    <t>jonathan.conforme@gmail.com</t>
  </si>
  <si>
    <t>cristian.guaman@gmail.com</t>
  </si>
  <si>
    <t>damary.ortiz@gmail.com</t>
  </si>
  <si>
    <t>diego.delgado@gmail.com</t>
  </si>
  <si>
    <t>diego.chacha@gmail.com</t>
  </si>
  <si>
    <t>dorian.marin@gmail.com</t>
  </si>
  <si>
    <t>edgar.serrano@gmail.com</t>
  </si>
  <si>
    <t>edison.patiño@gmail.com</t>
  </si>
  <si>
    <t>edwin.buenaño@gmail.com</t>
  </si>
  <si>
    <t>edwin.lopez@gmail.com</t>
  </si>
  <si>
    <t>evelyn.arias@gmail.com</t>
  </si>
  <si>
    <t>nelson.farez@gmail.com</t>
  </si>
  <si>
    <t>frank.puente@gmail.com</t>
  </si>
  <si>
    <t>fredi.rodriguez@gmail.com</t>
  </si>
  <si>
    <t>roger.granda@gmail.com</t>
  </si>
  <si>
    <t>cristofher.jimbiquite@gmail.com</t>
  </si>
  <si>
    <t>vicente.jiron@gmail.com</t>
  </si>
  <si>
    <t>juan.lozano@gmail.com</t>
  </si>
  <si>
    <t>karol.cardenas@gmail.com</t>
  </si>
  <si>
    <t>kevyn.mejia@gmail.com</t>
  </si>
  <si>
    <t>jenny.lojano@gmail.com</t>
  </si>
  <si>
    <t>luis.merchan@gmail.com</t>
  </si>
  <si>
    <t>geovanna.madero@gmail.com</t>
  </si>
  <si>
    <t>edwin.medina@gmail.com</t>
  </si>
  <si>
    <t>david.montenegro@gmail.com</t>
  </si>
  <si>
    <t>paul.nantip@gmail.com</t>
  </si>
  <si>
    <t>wilfrido.palacios@gmail.com</t>
  </si>
  <si>
    <t>gilberto.papue@gmail.com</t>
  </si>
  <si>
    <t>byron.peñafiel@gmail.com</t>
  </si>
  <si>
    <t>hernan.puglla@gmail.com</t>
  </si>
  <si>
    <t>hugo.reiban@gmail.com</t>
  </si>
  <si>
    <t>jorge.rivadeneira@gmail.com</t>
  </si>
  <si>
    <t>rhonny.rivadeneira@gmail.com</t>
  </si>
  <si>
    <t>jaime.salinas@gmail.com</t>
  </si>
  <si>
    <t>samuel.shiki@gmail.com</t>
  </si>
  <si>
    <t>mario.shuir@gmail.com</t>
  </si>
  <si>
    <t>juan.tapia@gmail.com</t>
  </si>
  <si>
    <t>alex.unkuch@gmail.com</t>
  </si>
  <si>
    <t>jose.vazquez@gmail.com</t>
  </si>
  <si>
    <t>mario.wachapa@gmail.com</t>
  </si>
  <si>
    <t>rebeca.wachapa@gmail.com</t>
  </si>
  <si>
    <t>hernan.wachapa@gmail.com</t>
  </si>
  <si>
    <t>galo.yamasqui@gmail.com</t>
  </si>
  <si>
    <t>marcelino.yankur@gmail.com</t>
  </si>
  <si>
    <t>edgar.zabala@gmail.com</t>
  </si>
  <si>
    <t>bolivar.zamareno@gmail.com</t>
  </si>
  <si>
    <t>ESTUDIO CAPTEEC</t>
  </si>
  <si>
    <t>INSTITUCION</t>
  </si>
  <si>
    <t xml:space="preserve">CAPTEEC Centro de Capacitacion Tecnica - Empresarial &amp; Tutorias </t>
  </si>
  <si>
    <t>LA TRONCAL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</si>
</sst>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.00_ ;_ &quot;$&quot;* \-#,##0.00_ ;_ &quot;$&quot;* &quot;-&quot;??_ ;_ @_ "/>
    <numFmt numFmtId="165" formatCode="[$-F400]h:mm:ss\ AM/PM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b/>
      <u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</font>
    <font>
      <sz val="8"/>
      <color rgb="FF000000"/>
      <name val="Aptos Narrow"/>
      <family val="2"/>
    </font>
    <font>
      <b/>
      <sz val="8"/>
      <color theme="2"/>
      <name val="Calibri"/>
      <family val="2"/>
    </font>
    <font>
      <b/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0" fontId="4" fillId="0" borderId="0" xfId="0" applyFont="1" applyAlignment="1">
      <alignment horizontal="center" vertical="center"/>
    </xf>
    <xf numFmtId="165" fontId="1" fillId="0" borderId="0" xfId="0" applyNumberFormat="1" applyFont="1"/>
    <xf numFmtId="49" fontId="6" fillId="0" borderId="0" xfId="0" applyNumberFormat="1" applyFont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/>
    <xf numFmtId="0" fontId="1" fillId="0" borderId="7" xfId="0" applyFont="1" applyBorder="1" applyAlignment="1">
      <alignment horizontal="center"/>
    </xf>
    <xf numFmtId="0" fontId="6" fillId="0" borderId="5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164" fontId="4" fillId="0" borderId="9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wrapText="1"/>
    </xf>
    <xf numFmtId="165" fontId="4" fillId="0" borderId="11" xfId="0" applyNumberFormat="1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49" fontId="1" fillId="0" borderId="14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4" fontId="6" fillId="0" borderId="14" xfId="0" applyNumberFormat="1" applyFont="1" applyBorder="1"/>
    <xf numFmtId="0" fontId="6" fillId="0" borderId="14" xfId="0" applyFont="1" applyBorder="1" applyAlignment="1">
      <alignment horizontal="center"/>
    </xf>
    <xf numFmtId="0" fontId="0" fillId="0" borderId="14" xfId="0" applyBorder="1"/>
    <xf numFmtId="0" fontId="1" fillId="0" borderId="14" xfId="0" applyFont="1" applyBorder="1"/>
    <xf numFmtId="164" fontId="1" fillId="0" borderId="14" xfId="0" applyNumberFormat="1" applyFont="1" applyBorder="1"/>
    <xf numFmtId="0" fontId="1" fillId="0" borderId="5" xfId="0" applyFont="1" applyBorder="1"/>
    <xf numFmtId="0" fontId="0" fillId="0" borderId="5" xfId="0" applyBorder="1"/>
    <xf numFmtId="0" fontId="4" fillId="0" borderId="11" xfId="0" applyFont="1" applyBorder="1" applyAlignment="1">
      <alignment horizontal="center"/>
    </xf>
    <xf numFmtId="0" fontId="1" fillId="0" borderId="7" xfId="0" applyFont="1" applyBorder="1"/>
    <xf numFmtId="0" fontId="0" fillId="0" borderId="7" xfId="0" applyBorder="1"/>
    <xf numFmtId="0" fontId="6" fillId="0" borderId="7" xfId="0" applyFont="1" applyBorder="1"/>
    <xf numFmtId="0" fontId="7" fillId="0" borderId="5" xfId="0" applyFont="1" applyBorder="1"/>
    <xf numFmtId="0" fontId="7" fillId="0" borderId="0" xfId="0" applyFont="1"/>
    <xf numFmtId="0" fontId="8" fillId="0" borderId="7" xfId="0" applyFont="1" applyBorder="1"/>
    <xf numFmtId="165" fontId="6" fillId="0" borderId="0" xfId="0" applyNumberFormat="1" applyFont="1"/>
    <xf numFmtId="0" fontId="6" fillId="0" borderId="12" xfId="0" applyFont="1" applyBorder="1"/>
    <xf numFmtId="165" fontId="6" fillId="0" borderId="14" xfId="0" applyNumberFormat="1" applyFont="1" applyBorder="1"/>
    <xf numFmtId="0" fontId="0" fillId="0" borderId="12" xfId="0" applyBorder="1"/>
    <xf numFmtId="0" fontId="0" fillId="0" borderId="6" xfId="0" applyBorder="1"/>
    <xf numFmtId="0" fontId="6" fillId="0" borderId="6" xfId="0" applyFont="1" applyBorder="1"/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6" fillId="10" borderId="0" xfId="0" applyFont="1" applyFill="1"/>
    <xf numFmtId="0" fontId="6" fillId="11" borderId="0" xfId="0" applyFont="1" applyFill="1"/>
    <xf numFmtId="0" fontId="6" fillId="11" borderId="14" xfId="0" applyFont="1" applyFill="1" applyBorder="1"/>
    <xf numFmtId="0" fontId="4" fillId="10" borderId="9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/>
    <xf numFmtId="0" fontId="3" fillId="0" borderId="1" xfId="0" applyFont="1" applyBorder="1"/>
    <xf numFmtId="0" fontId="4" fillId="6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9" borderId="0" xfId="0" applyFont="1" applyFill="1" applyAlignment="1">
      <alignment horizontal="center"/>
    </xf>
    <xf numFmtId="0" fontId="10" fillId="1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1224-D2D5-4B96-97C6-9CCA841735D7}">
  <dimension ref="A1:BU121"/>
  <sheetViews>
    <sheetView tabSelected="1" zoomScale="145" zoomScaleNormal="145" workbookViewId="0">
      <pane xSplit="4" ySplit="2" topLeftCell="E125" activePane="bottomRight" state="frozen"/>
      <selection pane="topRight" activeCell="E1" sqref="E1"/>
      <selection pane="bottomLeft" activeCell="A3" sqref="A3"/>
      <selection pane="bottomRight" activeCell="F134" sqref="F134"/>
    </sheetView>
  </sheetViews>
  <sheetFormatPr baseColWidth="10" defaultRowHeight="15" x14ac:dyDescent="0.25"/>
  <cols>
    <col min="1" max="1" width="4.42578125" customWidth="1"/>
    <col min="3" max="3" width="34.140625" customWidth="1"/>
    <col min="4" max="4" width="14.42578125" customWidth="1"/>
    <col min="7" max="7" width="6.7109375" customWidth="1"/>
    <col min="13" max="13" width="20.85546875" customWidth="1"/>
    <col min="27" max="27" width="39.7109375" customWidth="1"/>
    <col min="28" max="28" width="31.85546875" customWidth="1"/>
    <col min="29" max="29" width="25.5703125" customWidth="1"/>
    <col min="30" max="30" width="7.7109375" customWidth="1"/>
    <col min="31" max="31" width="28.42578125" customWidth="1"/>
    <col min="32" max="34" width="14.28515625" customWidth="1"/>
    <col min="35" max="35" width="45.85546875" customWidth="1"/>
    <col min="38" max="38" width="33.7109375" customWidth="1"/>
    <col min="39" max="39" width="27.85546875" customWidth="1"/>
    <col min="42" max="42" width="43.140625" customWidth="1"/>
    <col min="54" max="54" width="16.42578125" customWidth="1"/>
    <col min="55" max="55" width="13.85546875" customWidth="1"/>
    <col min="56" max="56" width="25.140625" customWidth="1"/>
  </cols>
  <sheetData>
    <row r="1" spans="1:73" x14ac:dyDescent="0.25">
      <c r="A1" s="1" t="s">
        <v>0</v>
      </c>
      <c r="B1" s="2"/>
      <c r="C1" s="2" t="s">
        <v>1</v>
      </c>
      <c r="D1" s="3"/>
      <c r="E1" s="4"/>
      <c r="F1" s="5" t="s">
        <v>2</v>
      </c>
      <c r="G1" s="4"/>
      <c r="H1" s="1"/>
      <c r="I1" s="1"/>
      <c r="J1" s="1"/>
      <c r="K1" s="1"/>
      <c r="L1" s="1"/>
      <c r="M1" s="2"/>
      <c r="N1" s="6"/>
      <c r="O1" s="6"/>
      <c r="P1" s="75" t="s">
        <v>3</v>
      </c>
      <c r="Q1" s="75"/>
      <c r="R1" s="76"/>
      <c r="S1" s="76"/>
      <c r="T1" s="76"/>
      <c r="U1" s="76"/>
      <c r="V1" s="77" t="s">
        <v>4</v>
      </c>
      <c r="W1" s="76"/>
      <c r="X1" s="76"/>
      <c r="Y1" s="76"/>
      <c r="Z1" s="76"/>
      <c r="AA1" s="81" t="s">
        <v>503</v>
      </c>
      <c r="AB1" s="81"/>
      <c r="AC1" s="81"/>
      <c r="AD1" s="81"/>
      <c r="AE1" s="82" t="s">
        <v>628</v>
      </c>
      <c r="AF1" s="82"/>
      <c r="AG1" s="82"/>
      <c r="AH1" s="82"/>
      <c r="AI1" s="78" t="s">
        <v>5</v>
      </c>
      <c r="AJ1" s="76"/>
      <c r="AK1" s="76"/>
      <c r="AL1" s="76"/>
      <c r="AM1" s="79" t="s">
        <v>6</v>
      </c>
      <c r="AN1" s="76"/>
      <c r="AO1" s="76"/>
      <c r="AP1" s="76"/>
      <c r="AQ1" s="80" t="s">
        <v>7</v>
      </c>
      <c r="AR1" s="70"/>
      <c r="AS1" s="70"/>
      <c r="AT1" s="70"/>
      <c r="AU1" s="7"/>
      <c r="AV1" s="69"/>
      <c r="AW1" s="70"/>
      <c r="AX1" s="70"/>
      <c r="AY1" s="71"/>
      <c r="AZ1" s="72" t="s">
        <v>8</v>
      </c>
      <c r="BA1" s="73"/>
      <c r="BB1" s="73"/>
      <c r="BC1" s="73"/>
      <c r="BD1" s="74"/>
      <c r="BE1" s="4"/>
      <c r="BF1" s="4"/>
      <c r="BG1" s="4"/>
      <c r="BH1" s="4"/>
    </row>
    <row r="2" spans="1:73" ht="33.75" x14ac:dyDescent="0.25">
      <c r="A2" s="8"/>
      <c r="B2" s="26" t="s">
        <v>9</v>
      </c>
      <c r="C2" s="27" t="s">
        <v>10</v>
      </c>
      <c r="D2" s="28" t="s">
        <v>11</v>
      </c>
      <c r="E2" s="28" t="s">
        <v>12</v>
      </c>
      <c r="F2" s="29" t="s">
        <v>13</v>
      </c>
      <c r="G2" s="27" t="s">
        <v>14</v>
      </c>
      <c r="H2" s="30" t="s">
        <v>15</v>
      </c>
      <c r="I2" s="30" t="s">
        <v>16</v>
      </c>
      <c r="J2" s="30" t="s">
        <v>17</v>
      </c>
      <c r="K2" s="30" t="s">
        <v>18</v>
      </c>
      <c r="L2" s="30" t="s">
        <v>19</v>
      </c>
      <c r="M2" s="28" t="s">
        <v>20</v>
      </c>
      <c r="N2" s="28" t="s">
        <v>21</v>
      </c>
      <c r="O2" s="28" t="s">
        <v>22</v>
      </c>
      <c r="P2" s="29" t="s">
        <v>23</v>
      </c>
      <c r="Q2" s="29" t="s">
        <v>502</v>
      </c>
      <c r="R2" s="29" t="s">
        <v>24</v>
      </c>
      <c r="S2" s="29" t="s">
        <v>25</v>
      </c>
      <c r="T2" s="27" t="s">
        <v>22</v>
      </c>
      <c r="U2" s="27" t="s">
        <v>27</v>
      </c>
      <c r="V2" s="29" t="s">
        <v>23</v>
      </c>
      <c r="W2" s="29" t="s">
        <v>24</v>
      </c>
      <c r="X2" s="29" t="s">
        <v>25</v>
      </c>
      <c r="Y2" s="27" t="s">
        <v>26</v>
      </c>
      <c r="Z2" s="27" t="s">
        <v>27</v>
      </c>
      <c r="AA2" s="63" t="s">
        <v>504</v>
      </c>
      <c r="AB2" s="63" t="s">
        <v>505</v>
      </c>
      <c r="AC2" s="63" t="s">
        <v>506</v>
      </c>
      <c r="AD2" s="63" t="s">
        <v>507</v>
      </c>
      <c r="AE2" s="68" t="s">
        <v>629</v>
      </c>
      <c r="AF2" s="68" t="s">
        <v>29</v>
      </c>
      <c r="AG2" s="68" t="s">
        <v>30</v>
      </c>
      <c r="AH2" s="68" t="s">
        <v>31</v>
      </c>
      <c r="AI2" s="26" t="s">
        <v>28</v>
      </c>
      <c r="AJ2" s="27" t="s">
        <v>29</v>
      </c>
      <c r="AK2" s="27" t="s">
        <v>30</v>
      </c>
      <c r="AL2" s="50" t="s">
        <v>31</v>
      </c>
      <c r="AM2" s="27" t="s">
        <v>28</v>
      </c>
      <c r="AN2" s="27" t="s">
        <v>29</v>
      </c>
      <c r="AO2" s="27" t="s">
        <v>30</v>
      </c>
      <c r="AP2" s="50" t="s">
        <v>31</v>
      </c>
      <c r="AQ2" s="27" t="s">
        <v>28</v>
      </c>
      <c r="AR2" s="27" t="s">
        <v>29</v>
      </c>
      <c r="AS2" s="27" t="s">
        <v>30</v>
      </c>
      <c r="AT2" s="27" t="s">
        <v>31</v>
      </c>
      <c r="AU2" s="31" t="s">
        <v>32</v>
      </c>
      <c r="AV2" s="32" t="s">
        <v>33</v>
      </c>
      <c r="AW2" s="32" t="s">
        <v>34</v>
      </c>
      <c r="AX2" s="32" t="s">
        <v>35</v>
      </c>
      <c r="AY2" s="32" t="s">
        <v>36</v>
      </c>
      <c r="AZ2" s="33" t="s">
        <v>37</v>
      </c>
      <c r="BA2" s="33" t="s">
        <v>38</v>
      </c>
      <c r="BB2" s="33" t="s">
        <v>30</v>
      </c>
      <c r="BC2" s="33" t="s">
        <v>19</v>
      </c>
      <c r="BD2" s="34" t="s">
        <v>39</v>
      </c>
      <c r="BE2" s="27" t="s">
        <v>11</v>
      </c>
      <c r="BF2" s="29" t="s">
        <v>40</v>
      </c>
      <c r="BG2" s="35" t="s">
        <v>41</v>
      </c>
      <c r="BH2" s="36" t="s">
        <v>42</v>
      </c>
    </row>
    <row r="3" spans="1:73" x14ac:dyDescent="0.25">
      <c r="A3" s="4"/>
      <c r="B3" s="23" t="s">
        <v>43</v>
      </c>
      <c r="C3" s="2" t="s">
        <v>44</v>
      </c>
      <c r="D3" s="10">
        <v>1400609218</v>
      </c>
      <c r="E3" s="4"/>
      <c r="F3" s="5">
        <v>33105</v>
      </c>
      <c r="G3" s="4">
        <f>2026-1990</f>
        <v>36</v>
      </c>
      <c r="H3" s="2" t="s">
        <v>401</v>
      </c>
      <c r="I3" s="2" t="s">
        <v>45</v>
      </c>
      <c r="J3" s="2" t="s">
        <v>46</v>
      </c>
      <c r="K3" s="2" t="s">
        <v>47</v>
      </c>
      <c r="L3" s="2" t="s">
        <v>47</v>
      </c>
      <c r="M3" s="2" t="s">
        <v>511</v>
      </c>
      <c r="N3" s="2" t="s">
        <v>48</v>
      </c>
      <c r="O3" s="2" t="s">
        <v>48</v>
      </c>
      <c r="P3" s="2"/>
      <c r="Q3" s="2"/>
      <c r="R3" s="5"/>
      <c r="S3" s="5"/>
      <c r="T3" s="2"/>
      <c r="U3" s="51"/>
      <c r="V3" s="2"/>
      <c r="W3" s="2"/>
      <c r="X3" s="2"/>
      <c r="Y3" s="2"/>
      <c r="Z3" s="51"/>
      <c r="AA3" s="2" t="s">
        <v>508</v>
      </c>
      <c r="AB3" s="2" t="s">
        <v>510</v>
      </c>
      <c r="AC3" s="2" t="s">
        <v>509</v>
      </c>
      <c r="AD3" s="4">
        <v>40</v>
      </c>
      <c r="AE3" s="2"/>
      <c r="AF3" s="2"/>
      <c r="AG3" s="2"/>
      <c r="AH3" s="2"/>
      <c r="AI3" s="48" t="s">
        <v>49</v>
      </c>
      <c r="AJ3" s="2" t="s">
        <v>50</v>
      </c>
      <c r="AK3" s="2" t="s">
        <v>47</v>
      </c>
      <c r="AL3" s="51" t="s">
        <v>51</v>
      </c>
      <c r="AM3" s="2"/>
      <c r="AN3" s="2"/>
      <c r="AO3" s="2"/>
      <c r="AP3" s="51"/>
      <c r="AQ3" s="2"/>
      <c r="AR3" s="2"/>
      <c r="AS3" s="2"/>
      <c r="AT3" s="51"/>
      <c r="AU3" s="7">
        <v>48.4</v>
      </c>
      <c r="AV3" s="5"/>
      <c r="AW3" s="5"/>
      <c r="AX3" s="5"/>
      <c r="AY3" s="2"/>
      <c r="AZ3" s="2" t="s">
        <v>52</v>
      </c>
      <c r="BA3" s="2" t="s">
        <v>53</v>
      </c>
      <c r="BB3" s="2" t="s">
        <v>400</v>
      </c>
      <c r="BC3" s="2" t="s">
        <v>399</v>
      </c>
      <c r="BD3" s="9"/>
      <c r="BE3" s="4">
        <f t="shared" ref="BE3:BE33" si="0">D3</f>
        <v>1400609218</v>
      </c>
      <c r="BF3" s="4">
        <f t="shared" ref="BF3:BF33" si="1">E3</f>
        <v>0</v>
      </c>
      <c r="BG3" s="4"/>
      <c r="BH3" s="24"/>
      <c r="BI3" s="4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x14ac:dyDescent="0.25">
      <c r="A4" s="4"/>
      <c r="B4" s="23" t="s">
        <v>54</v>
      </c>
      <c r="C4" s="2" t="s">
        <v>55</v>
      </c>
      <c r="D4" s="10">
        <v>1400922082</v>
      </c>
      <c r="E4" s="4"/>
      <c r="F4" s="5">
        <v>36382</v>
      </c>
      <c r="G4" s="4">
        <f>2026-1999</f>
        <v>27</v>
      </c>
      <c r="H4" s="2" t="s">
        <v>401</v>
      </c>
      <c r="I4" s="2" t="s">
        <v>45</v>
      </c>
      <c r="J4" s="2" t="s">
        <v>46</v>
      </c>
      <c r="K4" s="2" t="s">
        <v>47</v>
      </c>
      <c r="L4" s="2" t="s">
        <v>47</v>
      </c>
      <c r="M4" s="2" t="s">
        <v>512</v>
      </c>
      <c r="N4" s="2" t="s">
        <v>48</v>
      </c>
      <c r="O4" s="2" t="s">
        <v>48</v>
      </c>
      <c r="P4" s="2"/>
      <c r="Q4" s="2"/>
      <c r="R4" s="5"/>
      <c r="S4" s="5"/>
      <c r="T4" s="2"/>
      <c r="U4" s="51"/>
      <c r="V4" s="2"/>
      <c r="W4" s="2"/>
      <c r="X4" s="2"/>
      <c r="Y4" s="2"/>
      <c r="Z4" s="51"/>
      <c r="AA4" s="2" t="s">
        <v>508</v>
      </c>
      <c r="AB4" s="2" t="s">
        <v>510</v>
      </c>
      <c r="AC4" s="2" t="s">
        <v>509</v>
      </c>
      <c r="AD4" s="4">
        <v>40</v>
      </c>
      <c r="AE4" s="2"/>
      <c r="AF4" s="2"/>
      <c r="AG4" s="2"/>
      <c r="AH4" s="2"/>
      <c r="AI4" s="48" t="s">
        <v>56</v>
      </c>
      <c r="AJ4" s="2" t="s">
        <v>50</v>
      </c>
      <c r="AK4" s="2" t="s">
        <v>403</v>
      </c>
      <c r="AL4" s="51" t="s">
        <v>57</v>
      </c>
      <c r="AM4" s="2"/>
      <c r="AN4" s="2"/>
      <c r="AO4" s="2"/>
      <c r="AP4" s="51"/>
      <c r="AQ4" s="2"/>
      <c r="AR4" s="2"/>
      <c r="AS4" s="2"/>
      <c r="AT4" s="51"/>
      <c r="AU4" s="7">
        <v>48.4</v>
      </c>
      <c r="AV4" s="5"/>
      <c r="AW4" s="5"/>
      <c r="AX4" s="5"/>
      <c r="AY4" s="2"/>
      <c r="AZ4" s="2" t="s">
        <v>52</v>
      </c>
      <c r="BA4" s="2" t="s">
        <v>53</v>
      </c>
      <c r="BB4" s="2" t="s">
        <v>400</v>
      </c>
      <c r="BC4" s="2" t="s">
        <v>399</v>
      </c>
      <c r="BD4" s="9"/>
      <c r="BE4" s="4">
        <f t="shared" si="0"/>
        <v>1400922082</v>
      </c>
      <c r="BF4" s="4">
        <f t="shared" si="1"/>
        <v>0</v>
      </c>
      <c r="BG4" s="4"/>
      <c r="BH4" s="24"/>
      <c r="BI4" s="4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x14ac:dyDescent="0.25">
      <c r="A5" s="4" t="s">
        <v>58</v>
      </c>
      <c r="B5" s="23" t="s">
        <v>59</v>
      </c>
      <c r="C5" s="2" t="s">
        <v>60</v>
      </c>
      <c r="D5" s="10" t="s">
        <v>61</v>
      </c>
      <c r="E5" s="4"/>
      <c r="F5" s="5">
        <v>26678</v>
      </c>
      <c r="G5" s="4">
        <f>2026-1973</f>
        <v>53</v>
      </c>
      <c r="H5" s="2" t="s">
        <v>401</v>
      </c>
      <c r="I5" s="2" t="s">
        <v>45</v>
      </c>
      <c r="J5" s="2" t="s">
        <v>46</v>
      </c>
      <c r="K5" s="2" t="s">
        <v>47</v>
      </c>
      <c r="L5" s="2" t="s">
        <v>47</v>
      </c>
      <c r="M5" s="2" t="s">
        <v>513</v>
      </c>
      <c r="N5" s="2" t="s">
        <v>48</v>
      </c>
      <c r="O5" s="2" t="s">
        <v>48</v>
      </c>
      <c r="P5" s="2"/>
      <c r="Q5" s="2"/>
      <c r="R5" s="5"/>
      <c r="S5" s="5"/>
      <c r="T5" s="2"/>
      <c r="U5" s="51"/>
      <c r="V5" s="2"/>
      <c r="W5" s="2"/>
      <c r="X5" s="2"/>
      <c r="Y5" s="2"/>
      <c r="Z5" s="51"/>
      <c r="AA5" s="2" t="s">
        <v>508</v>
      </c>
      <c r="AB5" s="2" t="s">
        <v>510</v>
      </c>
      <c r="AC5" s="2" t="s">
        <v>509</v>
      </c>
      <c r="AD5" s="4">
        <v>40</v>
      </c>
      <c r="AE5" s="2" t="s">
        <v>630</v>
      </c>
      <c r="AF5" s="2" t="s">
        <v>50</v>
      </c>
      <c r="AG5" s="2" t="s">
        <v>631</v>
      </c>
      <c r="AH5" s="2"/>
      <c r="AI5" s="48"/>
      <c r="AJ5" s="2"/>
      <c r="AK5" s="2"/>
      <c r="AL5" s="51"/>
      <c r="AM5" s="2"/>
      <c r="AN5" s="2"/>
      <c r="AO5" s="2"/>
      <c r="AP5" s="51"/>
      <c r="AQ5" s="2"/>
      <c r="AR5" s="2"/>
      <c r="AS5" s="2"/>
      <c r="AT5" s="51"/>
      <c r="AU5" s="7">
        <v>48.4</v>
      </c>
      <c r="AV5" s="5"/>
      <c r="AW5" s="5"/>
      <c r="AX5" s="5"/>
      <c r="AY5" s="2"/>
      <c r="AZ5" s="2" t="s">
        <v>52</v>
      </c>
      <c r="BA5" s="2" t="s">
        <v>53</v>
      </c>
      <c r="BB5" s="2" t="s">
        <v>400</v>
      </c>
      <c r="BC5" s="2" t="s">
        <v>399</v>
      </c>
      <c r="BD5" s="9"/>
      <c r="BE5" s="4" t="str">
        <f t="shared" si="0"/>
        <v>0201275336</v>
      </c>
      <c r="BF5" s="4">
        <f t="shared" si="1"/>
        <v>0</v>
      </c>
      <c r="BG5" s="4"/>
      <c r="BH5" s="24"/>
      <c r="BI5" s="4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25">
      <c r="A6" s="4" t="s">
        <v>62</v>
      </c>
      <c r="B6" s="23" t="s">
        <v>63</v>
      </c>
      <c r="C6" s="2" t="s">
        <v>64</v>
      </c>
      <c r="D6" s="10" t="s">
        <v>65</v>
      </c>
      <c r="E6" s="4"/>
      <c r="F6" s="5">
        <v>21591</v>
      </c>
      <c r="G6" s="4">
        <f>2026-1959</f>
        <v>67</v>
      </c>
      <c r="H6" s="2" t="s">
        <v>401</v>
      </c>
      <c r="I6" s="2" t="s">
        <v>45</v>
      </c>
      <c r="J6" s="2" t="s">
        <v>46</v>
      </c>
      <c r="K6" s="2" t="s">
        <v>47</v>
      </c>
      <c r="L6" s="2" t="s">
        <v>47</v>
      </c>
      <c r="M6" s="2" t="s">
        <v>514</v>
      </c>
      <c r="N6" s="2" t="s">
        <v>48</v>
      </c>
      <c r="O6" s="2" t="s">
        <v>48</v>
      </c>
      <c r="P6" s="2"/>
      <c r="Q6" s="2"/>
      <c r="R6" s="5"/>
      <c r="S6" s="5"/>
      <c r="T6" s="2"/>
      <c r="U6" s="51"/>
      <c r="V6" s="2"/>
      <c r="W6" s="2"/>
      <c r="X6" s="2"/>
      <c r="Y6" s="2"/>
      <c r="Z6" s="51"/>
      <c r="AA6" s="2" t="s">
        <v>508</v>
      </c>
      <c r="AB6" s="2" t="s">
        <v>510</v>
      </c>
      <c r="AC6" s="2" t="s">
        <v>509</v>
      </c>
      <c r="AD6" s="4">
        <v>40</v>
      </c>
      <c r="AE6" s="2" t="s">
        <v>630</v>
      </c>
      <c r="AF6" s="2" t="s">
        <v>50</v>
      </c>
      <c r="AG6" s="2" t="s">
        <v>631</v>
      </c>
      <c r="AH6" s="2"/>
      <c r="AI6" s="48"/>
      <c r="AJ6" s="2"/>
      <c r="AK6" s="2"/>
      <c r="AL6" s="51"/>
      <c r="AM6" s="2"/>
      <c r="AN6" s="2"/>
      <c r="AO6" s="2"/>
      <c r="AP6" s="51"/>
      <c r="AQ6" s="2"/>
      <c r="AR6" s="2"/>
      <c r="AS6" s="2"/>
      <c r="AT6" s="51"/>
      <c r="AU6" s="7">
        <v>48.4</v>
      </c>
      <c r="AV6" s="5"/>
      <c r="AW6" s="5"/>
      <c r="AX6" s="5"/>
      <c r="AY6" s="2"/>
      <c r="AZ6" s="2" t="s">
        <v>52</v>
      </c>
      <c r="BA6" s="2" t="s">
        <v>53</v>
      </c>
      <c r="BB6" s="2" t="s">
        <v>400</v>
      </c>
      <c r="BC6" s="2" t="s">
        <v>399</v>
      </c>
      <c r="BD6" s="9"/>
      <c r="BE6" s="4" t="str">
        <f t="shared" si="0"/>
        <v>0300656485</v>
      </c>
      <c r="BF6" s="4">
        <f t="shared" si="1"/>
        <v>0</v>
      </c>
      <c r="BG6" s="4"/>
      <c r="BH6" s="24"/>
      <c r="BI6" s="4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x14ac:dyDescent="0.25">
      <c r="A7" s="4" t="s">
        <v>62</v>
      </c>
      <c r="B7" s="23" t="s">
        <v>66</v>
      </c>
      <c r="C7" s="2" t="s">
        <v>67</v>
      </c>
      <c r="D7" s="10">
        <v>1600435190</v>
      </c>
      <c r="E7" s="4"/>
      <c r="F7" s="5">
        <v>29230</v>
      </c>
      <c r="G7" s="4">
        <f>2026-1980</f>
        <v>46</v>
      </c>
      <c r="H7" s="2" t="s">
        <v>401</v>
      </c>
      <c r="I7" s="2" t="s">
        <v>45</v>
      </c>
      <c r="J7" s="2" t="s">
        <v>46</v>
      </c>
      <c r="K7" s="2" t="s">
        <v>47</v>
      </c>
      <c r="L7" s="2" t="s">
        <v>47</v>
      </c>
      <c r="M7" s="2" t="s">
        <v>515</v>
      </c>
      <c r="N7" s="2" t="s">
        <v>48</v>
      </c>
      <c r="O7" s="2" t="s">
        <v>48</v>
      </c>
      <c r="P7" s="2"/>
      <c r="Q7" s="2"/>
      <c r="R7" s="5"/>
      <c r="S7" s="5"/>
      <c r="T7" s="2"/>
      <c r="U7" s="51"/>
      <c r="V7" s="2"/>
      <c r="W7" s="2"/>
      <c r="X7" s="2"/>
      <c r="Y7" s="2"/>
      <c r="Z7" s="51"/>
      <c r="AA7" s="2" t="s">
        <v>508</v>
      </c>
      <c r="AB7" s="2" t="s">
        <v>510</v>
      </c>
      <c r="AC7" s="2" t="s">
        <v>509</v>
      </c>
      <c r="AD7" s="4">
        <v>40</v>
      </c>
      <c r="AE7" s="2" t="s">
        <v>630</v>
      </c>
      <c r="AF7" s="2" t="s">
        <v>50</v>
      </c>
      <c r="AG7" s="2" t="s">
        <v>631</v>
      </c>
      <c r="AH7" s="2"/>
      <c r="AI7" s="48"/>
      <c r="AJ7" s="2"/>
      <c r="AK7" s="2"/>
      <c r="AL7" s="51"/>
      <c r="AM7" s="2"/>
      <c r="AN7" s="2"/>
      <c r="AO7" s="2"/>
      <c r="AP7" s="51"/>
      <c r="AQ7" s="2"/>
      <c r="AR7" s="2"/>
      <c r="AS7" s="2"/>
      <c r="AT7" s="51"/>
      <c r="AU7" s="7">
        <v>48.4</v>
      </c>
      <c r="AV7" s="5"/>
      <c r="AW7" s="5"/>
      <c r="AX7" s="5"/>
      <c r="AY7" s="2"/>
      <c r="AZ7" s="2" t="s">
        <v>52</v>
      </c>
      <c r="BA7" s="2" t="s">
        <v>53</v>
      </c>
      <c r="BB7" s="2" t="s">
        <v>400</v>
      </c>
      <c r="BC7" s="2" t="s">
        <v>399</v>
      </c>
      <c r="BD7" s="9"/>
      <c r="BE7" s="4">
        <f t="shared" si="0"/>
        <v>1600435190</v>
      </c>
      <c r="BF7" s="4">
        <f t="shared" si="1"/>
        <v>0</v>
      </c>
      <c r="BG7" s="4"/>
      <c r="BH7" s="24"/>
      <c r="BI7" s="4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x14ac:dyDescent="0.25">
      <c r="A8" s="4" t="s">
        <v>58</v>
      </c>
      <c r="B8" s="23" t="s">
        <v>68</v>
      </c>
      <c r="C8" s="2" t="s">
        <v>69</v>
      </c>
      <c r="D8" s="10" t="s">
        <v>70</v>
      </c>
      <c r="E8" s="4"/>
      <c r="F8" s="5">
        <v>31775</v>
      </c>
      <c r="G8" s="4">
        <f>2026-1986</f>
        <v>40</v>
      </c>
      <c r="H8" s="2" t="s">
        <v>401</v>
      </c>
      <c r="I8" s="2" t="s">
        <v>45</v>
      </c>
      <c r="J8" s="2" t="s">
        <v>46</v>
      </c>
      <c r="K8" s="2" t="s">
        <v>47</v>
      </c>
      <c r="L8" s="2" t="s">
        <v>47</v>
      </c>
      <c r="M8" s="2" t="s">
        <v>516</v>
      </c>
      <c r="N8" s="2" t="s">
        <v>48</v>
      </c>
      <c r="O8" s="2" t="s">
        <v>48</v>
      </c>
      <c r="P8" s="2"/>
      <c r="Q8" s="2"/>
      <c r="R8" s="5"/>
      <c r="S8" s="5"/>
      <c r="T8" s="2"/>
      <c r="U8" s="51"/>
      <c r="V8" s="2"/>
      <c r="W8" s="2"/>
      <c r="X8" s="2"/>
      <c r="Y8" s="2"/>
      <c r="Z8" s="51"/>
      <c r="AA8" s="2" t="s">
        <v>508</v>
      </c>
      <c r="AB8" s="2" t="s">
        <v>510</v>
      </c>
      <c r="AC8" s="2" t="s">
        <v>509</v>
      </c>
      <c r="AD8" s="4">
        <v>40</v>
      </c>
      <c r="AE8" s="2" t="s">
        <v>630</v>
      </c>
      <c r="AF8" s="2" t="s">
        <v>50</v>
      </c>
      <c r="AG8" s="2" t="s">
        <v>631</v>
      </c>
      <c r="AH8" s="2"/>
      <c r="AI8" s="48"/>
      <c r="AJ8" s="2"/>
      <c r="AK8" s="2"/>
      <c r="AL8" s="51"/>
      <c r="AM8" s="2"/>
      <c r="AN8" s="2"/>
      <c r="AO8" s="2"/>
      <c r="AP8" s="51"/>
      <c r="AQ8" s="2"/>
      <c r="AR8" s="2"/>
      <c r="AS8" s="2"/>
      <c r="AT8" s="51"/>
      <c r="AU8" s="7">
        <v>48.4</v>
      </c>
      <c r="AV8" s="5"/>
      <c r="AW8" s="5"/>
      <c r="AX8" s="5"/>
      <c r="AY8" s="2"/>
      <c r="AZ8" s="2" t="s">
        <v>52</v>
      </c>
      <c r="BA8" s="2" t="s">
        <v>53</v>
      </c>
      <c r="BB8" s="2" t="s">
        <v>400</v>
      </c>
      <c r="BC8" s="2" t="s">
        <v>399</v>
      </c>
      <c r="BD8" s="9"/>
      <c r="BE8" s="4" t="str">
        <f t="shared" si="0"/>
        <v>1400560239</v>
      </c>
      <c r="BF8" s="4">
        <f t="shared" si="1"/>
        <v>0</v>
      </c>
      <c r="BG8" s="4"/>
      <c r="BH8" s="24"/>
      <c r="BI8" s="4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x14ac:dyDescent="0.25">
      <c r="A9" s="4" t="s">
        <v>58</v>
      </c>
      <c r="B9" s="23" t="s">
        <v>71</v>
      </c>
      <c r="C9" s="2" t="s">
        <v>72</v>
      </c>
      <c r="D9" s="10">
        <v>1600175788</v>
      </c>
      <c r="E9" s="4"/>
      <c r="F9" s="5">
        <v>23668</v>
      </c>
      <c r="G9" s="4">
        <f>2026-1964</f>
        <v>62</v>
      </c>
      <c r="H9" s="2" t="s">
        <v>401</v>
      </c>
      <c r="I9" s="2" t="s">
        <v>45</v>
      </c>
      <c r="J9" s="2" t="s">
        <v>46</v>
      </c>
      <c r="K9" s="2" t="s">
        <v>47</v>
      </c>
      <c r="L9" s="2" t="s">
        <v>47</v>
      </c>
      <c r="M9" s="2" t="s">
        <v>517</v>
      </c>
      <c r="N9" s="2" t="s">
        <v>48</v>
      </c>
      <c r="O9" s="2" t="s">
        <v>48</v>
      </c>
      <c r="P9" s="2"/>
      <c r="Q9" s="2"/>
      <c r="R9" s="5"/>
      <c r="S9" s="5"/>
      <c r="T9" s="2"/>
      <c r="U9" s="51"/>
      <c r="V9" s="2"/>
      <c r="W9" s="2"/>
      <c r="X9" s="2"/>
      <c r="Y9" s="2"/>
      <c r="Z9" s="51"/>
      <c r="AA9" s="2" t="s">
        <v>508</v>
      </c>
      <c r="AB9" s="2" t="s">
        <v>510</v>
      </c>
      <c r="AC9" s="2" t="s">
        <v>509</v>
      </c>
      <c r="AD9" s="4">
        <v>40</v>
      </c>
      <c r="AE9" s="2" t="s">
        <v>630</v>
      </c>
      <c r="AF9" s="2" t="s">
        <v>50</v>
      </c>
      <c r="AG9" s="2" t="s">
        <v>631</v>
      </c>
      <c r="AH9" s="2"/>
      <c r="AI9" s="48"/>
      <c r="AJ9" s="2"/>
      <c r="AK9" s="2"/>
      <c r="AL9" s="51"/>
      <c r="AM9" s="2"/>
      <c r="AN9" s="2"/>
      <c r="AO9" s="2"/>
      <c r="AP9" s="51"/>
      <c r="AQ9" s="2"/>
      <c r="AR9" s="2"/>
      <c r="AS9" s="2"/>
      <c r="AT9" s="51"/>
      <c r="AU9" s="7">
        <v>48.4</v>
      </c>
      <c r="AV9" s="5"/>
      <c r="AW9" s="5"/>
      <c r="AX9" s="5"/>
      <c r="AY9" s="2"/>
      <c r="AZ9" s="2" t="s">
        <v>52</v>
      </c>
      <c r="BA9" s="2" t="s">
        <v>53</v>
      </c>
      <c r="BB9" s="2" t="s">
        <v>400</v>
      </c>
      <c r="BC9" s="2" t="s">
        <v>399</v>
      </c>
      <c r="BD9" s="9"/>
      <c r="BE9" s="4">
        <f t="shared" si="0"/>
        <v>1600175788</v>
      </c>
      <c r="BF9" s="4">
        <f t="shared" si="1"/>
        <v>0</v>
      </c>
      <c r="BG9" s="4"/>
      <c r="BH9" s="24"/>
      <c r="BI9" s="4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x14ac:dyDescent="0.25">
      <c r="A10" s="4" t="s">
        <v>62</v>
      </c>
      <c r="B10" s="23" t="s">
        <v>73</v>
      </c>
      <c r="C10" s="2" t="s">
        <v>74</v>
      </c>
      <c r="D10" s="10">
        <v>1400498497</v>
      </c>
      <c r="E10" s="4"/>
      <c r="F10" s="5">
        <v>33556</v>
      </c>
      <c r="G10" s="4">
        <f>2026-1991</f>
        <v>35</v>
      </c>
      <c r="H10" s="2" t="s">
        <v>401</v>
      </c>
      <c r="I10" s="2" t="s">
        <v>45</v>
      </c>
      <c r="J10" s="2" t="s">
        <v>46</v>
      </c>
      <c r="K10" s="2" t="s">
        <v>47</v>
      </c>
      <c r="L10" s="2" t="s">
        <v>47</v>
      </c>
      <c r="M10" s="2" t="s">
        <v>518</v>
      </c>
      <c r="N10" s="2" t="s">
        <v>48</v>
      </c>
      <c r="O10" s="2" t="s">
        <v>48</v>
      </c>
      <c r="P10" s="2"/>
      <c r="Q10" s="2"/>
      <c r="R10" s="5"/>
      <c r="S10" s="5"/>
      <c r="T10" s="2"/>
      <c r="U10" s="51"/>
      <c r="V10" s="2"/>
      <c r="W10" s="2"/>
      <c r="X10" s="2"/>
      <c r="Y10" s="2"/>
      <c r="Z10" s="51"/>
      <c r="AA10" s="2" t="s">
        <v>508</v>
      </c>
      <c r="AB10" s="2" t="s">
        <v>510</v>
      </c>
      <c r="AC10" s="2" t="s">
        <v>509</v>
      </c>
      <c r="AD10" s="4">
        <v>40</v>
      </c>
      <c r="AE10" s="2" t="s">
        <v>630</v>
      </c>
      <c r="AF10" s="2" t="s">
        <v>50</v>
      </c>
      <c r="AG10" s="2" t="s">
        <v>631</v>
      </c>
      <c r="AH10" s="2"/>
      <c r="AI10" s="48"/>
      <c r="AJ10" s="2"/>
      <c r="AK10" s="2"/>
      <c r="AL10" s="51"/>
      <c r="AM10" s="2"/>
      <c r="AN10" s="2"/>
      <c r="AO10" s="2"/>
      <c r="AP10" s="51"/>
      <c r="AQ10" s="2"/>
      <c r="AR10" s="2"/>
      <c r="AS10" s="2"/>
      <c r="AT10" s="51"/>
      <c r="AU10" s="7">
        <v>48.4</v>
      </c>
      <c r="AV10" s="5"/>
      <c r="AW10" s="5"/>
      <c r="AX10" s="5"/>
      <c r="AY10" s="2"/>
      <c r="AZ10" s="2" t="s">
        <v>52</v>
      </c>
      <c r="BA10" s="2" t="s">
        <v>53</v>
      </c>
      <c r="BB10" s="2" t="s">
        <v>400</v>
      </c>
      <c r="BC10" s="2" t="s">
        <v>399</v>
      </c>
      <c r="BD10" s="9"/>
      <c r="BE10" s="4">
        <f t="shared" si="0"/>
        <v>1400498497</v>
      </c>
      <c r="BF10" s="4">
        <f t="shared" si="1"/>
        <v>0</v>
      </c>
      <c r="BG10" s="4"/>
      <c r="BH10" s="24"/>
      <c r="BI10" s="4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x14ac:dyDescent="0.25">
      <c r="A11" s="4"/>
      <c r="B11" s="23" t="s">
        <v>75</v>
      </c>
      <c r="C11" s="2" t="s">
        <v>76</v>
      </c>
      <c r="D11" s="10" t="s">
        <v>77</v>
      </c>
      <c r="E11" s="4"/>
      <c r="F11" s="5">
        <v>27257</v>
      </c>
      <c r="G11" s="4">
        <f>2026-1974</f>
        <v>52</v>
      </c>
      <c r="H11" s="2" t="s">
        <v>401</v>
      </c>
      <c r="I11" s="2" t="s">
        <v>45</v>
      </c>
      <c r="J11" s="2" t="s">
        <v>46</v>
      </c>
      <c r="K11" s="2" t="s">
        <v>47</v>
      </c>
      <c r="L11" s="2" t="s">
        <v>47</v>
      </c>
      <c r="M11" s="2" t="s">
        <v>519</v>
      </c>
      <c r="N11" s="2" t="s">
        <v>48</v>
      </c>
      <c r="O11" s="2" t="s">
        <v>48</v>
      </c>
      <c r="P11" s="2"/>
      <c r="Q11" s="2"/>
      <c r="R11" s="5"/>
      <c r="S11" s="5"/>
      <c r="T11" s="2"/>
      <c r="U11" s="51"/>
      <c r="V11" s="2"/>
      <c r="W11" s="2"/>
      <c r="X11" s="2"/>
      <c r="Y11" s="2"/>
      <c r="Z11" s="51"/>
      <c r="AA11" s="2" t="s">
        <v>508</v>
      </c>
      <c r="AB11" s="2" t="s">
        <v>510</v>
      </c>
      <c r="AC11" s="2" t="s">
        <v>509</v>
      </c>
      <c r="AD11" s="4">
        <v>40</v>
      </c>
      <c r="AE11" s="2"/>
      <c r="AF11" s="2"/>
      <c r="AG11" s="2"/>
      <c r="AH11" s="2"/>
      <c r="AI11" s="48" t="s">
        <v>78</v>
      </c>
      <c r="AJ11" s="2" t="s">
        <v>50</v>
      </c>
      <c r="AK11" s="2" t="s">
        <v>404</v>
      </c>
      <c r="AL11" s="51" t="s">
        <v>79</v>
      </c>
      <c r="AM11" s="2"/>
      <c r="AN11" s="2"/>
      <c r="AO11" s="2"/>
      <c r="AP11" s="51"/>
      <c r="AQ11" s="2"/>
      <c r="AR11" s="2"/>
      <c r="AS11" s="2"/>
      <c r="AT11" s="51"/>
      <c r="AU11" s="7">
        <v>48.4</v>
      </c>
      <c r="AV11" s="5"/>
      <c r="AW11" s="5"/>
      <c r="AX11" s="5"/>
      <c r="AY11" s="2"/>
      <c r="AZ11" s="2" t="s">
        <v>52</v>
      </c>
      <c r="BA11" s="2" t="s">
        <v>53</v>
      </c>
      <c r="BB11" s="2" t="s">
        <v>400</v>
      </c>
      <c r="BC11" s="2" t="s">
        <v>399</v>
      </c>
      <c r="BD11" s="9"/>
      <c r="BE11" s="4" t="str">
        <f t="shared" si="0"/>
        <v>1400379119</v>
      </c>
      <c r="BF11" s="4">
        <f t="shared" si="1"/>
        <v>0</v>
      </c>
      <c r="BG11" s="4"/>
      <c r="BH11" s="24"/>
      <c r="BI11" s="4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25">
      <c r="A12" s="4"/>
      <c r="B12" s="23" t="s">
        <v>80</v>
      </c>
      <c r="C12" s="2" t="s">
        <v>81</v>
      </c>
      <c r="D12" s="10">
        <v>1450177868</v>
      </c>
      <c r="E12" s="4"/>
      <c r="F12" s="5">
        <v>34545</v>
      </c>
      <c r="G12" s="4">
        <f>2026-1994</f>
        <v>32</v>
      </c>
      <c r="H12" s="2" t="s">
        <v>401</v>
      </c>
      <c r="I12" s="2" t="s">
        <v>45</v>
      </c>
      <c r="J12" s="2" t="s">
        <v>46</v>
      </c>
      <c r="K12" s="2" t="s">
        <v>47</v>
      </c>
      <c r="L12" s="2" t="s">
        <v>47</v>
      </c>
      <c r="M12" s="2" t="s">
        <v>520</v>
      </c>
      <c r="N12" s="2" t="s">
        <v>48</v>
      </c>
      <c r="O12" s="2" t="s">
        <v>48</v>
      </c>
      <c r="P12" s="2"/>
      <c r="Q12" s="2"/>
      <c r="R12" s="5"/>
      <c r="S12" s="5"/>
      <c r="T12" s="2"/>
      <c r="U12" s="51"/>
      <c r="V12" s="2"/>
      <c r="W12" s="2"/>
      <c r="X12" s="2"/>
      <c r="Y12" s="2"/>
      <c r="Z12" s="51"/>
      <c r="AA12" s="2" t="s">
        <v>508</v>
      </c>
      <c r="AB12" s="2" t="s">
        <v>510</v>
      </c>
      <c r="AC12" s="2" t="s">
        <v>509</v>
      </c>
      <c r="AD12" s="4">
        <v>40</v>
      </c>
      <c r="AE12" s="2"/>
      <c r="AF12" s="2"/>
      <c r="AG12" s="2"/>
      <c r="AH12" s="2"/>
      <c r="AI12" s="48" t="s">
        <v>82</v>
      </c>
      <c r="AJ12" s="2" t="s">
        <v>50</v>
      </c>
      <c r="AK12" s="2" t="s">
        <v>47</v>
      </c>
      <c r="AL12" s="51" t="s">
        <v>83</v>
      </c>
      <c r="AM12" s="2"/>
      <c r="AN12" s="2"/>
      <c r="AO12" s="2"/>
      <c r="AP12" s="51"/>
      <c r="AQ12" s="2"/>
      <c r="AR12" s="2"/>
      <c r="AS12" s="2"/>
      <c r="AT12" s="51"/>
      <c r="AU12" s="7">
        <v>48.4</v>
      </c>
      <c r="AV12" s="5"/>
      <c r="AW12" s="5"/>
      <c r="AX12" s="5"/>
      <c r="AY12" s="2"/>
      <c r="AZ12" s="2" t="s">
        <v>52</v>
      </c>
      <c r="BA12" s="2" t="s">
        <v>53</v>
      </c>
      <c r="BB12" s="2" t="s">
        <v>400</v>
      </c>
      <c r="BC12" s="2" t="s">
        <v>399</v>
      </c>
      <c r="BD12" s="9"/>
      <c r="BE12" s="4">
        <f t="shared" si="0"/>
        <v>1450177868</v>
      </c>
      <c r="BF12" s="4">
        <f t="shared" si="1"/>
        <v>0</v>
      </c>
      <c r="BG12" s="4"/>
      <c r="BH12" s="24"/>
      <c r="BI12" s="4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x14ac:dyDescent="0.25">
      <c r="A13" s="4"/>
      <c r="B13" s="23" t="s">
        <v>84</v>
      </c>
      <c r="C13" s="2" t="s">
        <v>85</v>
      </c>
      <c r="D13" s="10">
        <v>1400476337</v>
      </c>
      <c r="E13" s="4"/>
      <c r="F13" s="5">
        <v>30828</v>
      </c>
      <c r="G13" s="4">
        <f>2026-1984</f>
        <v>42</v>
      </c>
      <c r="H13" s="2" t="s">
        <v>401</v>
      </c>
      <c r="I13" s="2" t="s">
        <v>45</v>
      </c>
      <c r="J13" s="2" t="s">
        <v>46</v>
      </c>
      <c r="K13" s="2" t="s">
        <v>47</v>
      </c>
      <c r="L13" s="2" t="s">
        <v>47</v>
      </c>
      <c r="M13" s="2" t="s">
        <v>521</v>
      </c>
      <c r="N13" s="2" t="s">
        <v>48</v>
      </c>
      <c r="O13" s="2" t="s">
        <v>48</v>
      </c>
      <c r="P13" s="2"/>
      <c r="Q13" s="2"/>
      <c r="R13" s="5"/>
      <c r="S13" s="5"/>
      <c r="T13" s="2"/>
      <c r="U13" s="51"/>
      <c r="V13" s="2"/>
      <c r="W13" s="2"/>
      <c r="X13" s="2"/>
      <c r="Y13" s="2"/>
      <c r="Z13" s="51"/>
      <c r="AA13" s="2" t="s">
        <v>508</v>
      </c>
      <c r="AB13" s="2" t="s">
        <v>510</v>
      </c>
      <c r="AC13" s="2" t="s">
        <v>509</v>
      </c>
      <c r="AD13" s="4">
        <v>40</v>
      </c>
      <c r="AE13" s="2"/>
      <c r="AF13" s="2"/>
      <c r="AG13" s="2"/>
      <c r="AH13" s="2"/>
      <c r="AI13" s="48" t="s">
        <v>82</v>
      </c>
      <c r="AJ13" s="2" t="s">
        <v>50</v>
      </c>
      <c r="AK13" s="2" t="s">
        <v>47</v>
      </c>
      <c r="AL13" s="51" t="s">
        <v>86</v>
      </c>
      <c r="AM13" s="2"/>
      <c r="AN13" s="2"/>
      <c r="AO13" s="2"/>
      <c r="AP13" s="51"/>
      <c r="AQ13" s="2"/>
      <c r="AR13" s="2"/>
      <c r="AS13" s="2"/>
      <c r="AT13" s="51"/>
      <c r="AU13" s="7">
        <v>48.4</v>
      </c>
      <c r="AV13" s="5"/>
      <c r="AW13" s="5"/>
      <c r="AX13" s="5"/>
      <c r="AY13" s="2"/>
      <c r="AZ13" s="2" t="s">
        <v>52</v>
      </c>
      <c r="BA13" s="2" t="s">
        <v>53</v>
      </c>
      <c r="BB13" s="2" t="s">
        <v>400</v>
      </c>
      <c r="BC13" s="2" t="s">
        <v>399</v>
      </c>
      <c r="BD13" s="9"/>
      <c r="BE13" s="4">
        <f t="shared" si="0"/>
        <v>1400476337</v>
      </c>
      <c r="BF13" s="4">
        <f t="shared" si="1"/>
        <v>0</v>
      </c>
      <c r="BG13" s="4"/>
      <c r="BH13" s="24"/>
      <c r="BI13" s="4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x14ac:dyDescent="0.25">
      <c r="A14" s="4" t="s">
        <v>58</v>
      </c>
      <c r="B14" s="23" t="s">
        <v>87</v>
      </c>
      <c r="C14" s="2" t="s">
        <v>88</v>
      </c>
      <c r="D14" s="10">
        <v>1400436232</v>
      </c>
      <c r="E14" s="4"/>
      <c r="F14" s="5">
        <v>29315</v>
      </c>
      <c r="G14" s="4">
        <f>2026-1980</f>
        <v>46</v>
      </c>
      <c r="H14" s="2" t="s">
        <v>401</v>
      </c>
      <c r="I14" s="2" t="s">
        <v>45</v>
      </c>
      <c r="J14" s="2" t="s">
        <v>46</v>
      </c>
      <c r="K14" s="2" t="s">
        <v>47</v>
      </c>
      <c r="L14" s="2" t="s">
        <v>47</v>
      </c>
      <c r="M14" s="2" t="s">
        <v>522</v>
      </c>
      <c r="N14" s="2" t="s">
        <v>48</v>
      </c>
      <c r="O14" s="2" t="s">
        <v>48</v>
      </c>
      <c r="P14" s="2"/>
      <c r="Q14" s="2"/>
      <c r="R14" s="5"/>
      <c r="S14" s="5"/>
      <c r="T14" s="2"/>
      <c r="U14" s="51"/>
      <c r="V14" s="2"/>
      <c r="W14" s="2"/>
      <c r="X14" s="2"/>
      <c r="Y14" s="2"/>
      <c r="Z14" s="51"/>
      <c r="AA14" s="2" t="s">
        <v>508</v>
      </c>
      <c r="AB14" s="2" t="s">
        <v>510</v>
      </c>
      <c r="AC14" s="2" t="s">
        <v>509</v>
      </c>
      <c r="AD14" s="4">
        <v>40</v>
      </c>
      <c r="AE14" s="2" t="s">
        <v>630</v>
      </c>
      <c r="AF14" s="2" t="s">
        <v>50</v>
      </c>
      <c r="AG14" s="2" t="s">
        <v>631</v>
      </c>
      <c r="AH14" s="2"/>
      <c r="AI14" s="48"/>
      <c r="AJ14" s="2"/>
      <c r="AK14" s="2"/>
      <c r="AL14" s="51"/>
      <c r="AM14" s="2"/>
      <c r="AN14" s="2"/>
      <c r="AO14" s="2"/>
      <c r="AP14" s="51"/>
      <c r="AQ14" s="2"/>
      <c r="AR14" s="2"/>
      <c r="AS14" s="2"/>
      <c r="AT14" s="51"/>
      <c r="AU14" s="7">
        <v>48.4</v>
      </c>
      <c r="AV14" s="5"/>
      <c r="AW14" s="5"/>
      <c r="AX14" s="5"/>
      <c r="AY14" s="2"/>
      <c r="AZ14" s="2" t="s">
        <v>52</v>
      </c>
      <c r="BA14" s="2" t="s">
        <v>53</v>
      </c>
      <c r="BB14" s="2" t="s">
        <v>400</v>
      </c>
      <c r="BC14" s="2" t="s">
        <v>399</v>
      </c>
      <c r="BD14" s="9"/>
      <c r="BE14" s="4">
        <f t="shared" si="0"/>
        <v>1400436232</v>
      </c>
      <c r="BF14" s="4">
        <f t="shared" si="1"/>
        <v>0</v>
      </c>
      <c r="BG14" s="4"/>
      <c r="BH14" s="24"/>
      <c r="BI14" s="4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x14ac:dyDescent="0.25">
      <c r="A15" s="4"/>
      <c r="B15" s="23" t="s">
        <v>89</v>
      </c>
      <c r="C15" s="2" t="s">
        <v>90</v>
      </c>
      <c r="D15" s="10">
        <v>1400456370</v>
      </c>
      <c r="E15" s="4"/>
      <c r="F15" s="5">
        <v>32572</v>
      </c>
      <c r="G15" s="4">
        <f>2026-1989</f>
        <v>37</v>
      </c>
      <c r="H15" s="2" t="s">
        <v>401</v>
      </c>
      <c r="I15" s="2" t="s">
        <v>45</v>
      </c>
      <c r="J15" s="2" t="s">
        <v>46</v>
      </c>
      <c r="K15" s="2" t="s">
        <v>47</v>
      </c>
      <c r="L15" s="2" t="s">
        <v>47</v>
      </c>
      <c r="M15" s="2" t="s">
        <v>523</v>
      </c>
      <c r="N15" s="2" t="s">
        <v>48</v>
      </c>
      <c r="O15" s="2" t="s">
        <v>48</v>
      </c>
      <c r="P15" s="2"/>
      <c r="Q15" s="2"/>
      <c r="R15" s="5"/>
      <c r="S15" s="5"/>
      <c r="T15" s="2"/>
      <c r="U15" s="51"/>
      <c r="V15" s="2"/>
      <c r="W15" s="2"/>
      <c r="X15" s="2"/>
      <c r="Y15" s="2"/>
      <c r="Z15" s="51"/>
      <c r="AA15" s="2" t="s">
        <v>508</v>
      </c>
      <c r="AB15" s="2" t="s">
        <v>510</v>
      </c>
      <c r="AC15" s="2" t="s">
        <v>509</v>
      </c>
      <c r="AD15" s="4">
        <v>40</v>
      </c>
      <c r="AE15" s="2"/>
      <c r="AF15" s="2"/>
      <c r="AG15" s="2"/>
      <c r="AH15" s="2"/>
      <c r="AI15" s="48" t="s">
        <v>91</v>
      </c>
      <c r="AJ15" s="2" t="s">
        <v>50</v>
      </c>
      <c r="AK15" s="2" t="s">
        <v>47</v>
      </c>
      <c r="AL15" s="51" t="s">
        <v>79</v>
      </c>
      <c r="AM15" s="2"/>
      <c r="AN15" s="2"/>
      <c r="AO15" s="2"/>
      <c r="AP15" s="51"/>
      <c r="AQ15" s="2"/>
      <c r="AR15" s="2"/>
      <c r="AS15" s="2"/>
      <c r="AT15" s="51"/>
      <c r="AU15" s="7">
        <v>48.4</v>
      </c>
      <c r="AV15" s="5"/>
      <c r="AW15" s="5"/>
      <c r="AX15" s="5"/>
      <c r="AY15" s="2"/>
      <c r="AZ15" s="2" t="s">
        <v>52</v>
      </c>
      <c r="BA15" s="2" t="s">
        <v>53</v>
      </c>
      <c r="BB15" s="2" t="s">
        <v>400</v>
      </c>
      <c r="BC15" s="2" t="s">
        <v>399</v>
      </c>
      <c r="BD15" s="9"/>
      <c r="BE15" s="4">
        <f t="shared" si="0"/>
        <v>1400456370</v>
      </c>
      <c r="BF15" s="4">
        <f t="shared" si="1"/>
        <v>0</v>
      </c>
      <c r="BG15" s="4"/>
      <c r="BH15" s="24"/>
      <c r="BI15" s="4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x14ac:dyDescent="0.25">
      <c r="A16" s="4" t="s">
        <v>58</v>
      </c>
      <c r="B16" s="23" t="s">
        <v>92</v>
      </c>
      <c r="C16" s="2" t="s">
        <v>93</v>
      </c>
      <c r="D16" s="10" t="s">
        <v>94</v>
      </c>
      <c r="E16" s="4"/>
      <c r="F16" s="5">
        <v>26269</v>
      </c>
      <c r="G16" s="4">
        <f>2026-1971</f>
        <v>55</v>
      </c>
      <c r="H16" s="2" t="s">
        <v>401</v>
      </c>
      <c r="I16" s="2" t="s">
        <v>45</v>
      </c>
      <c r="J16" s="2" t="s">
        <v>46</v>
      </c>
      <c r="K16" s="2" t="s">
        <v>47</v>
      </c>
      <c r="L16" s="2" t="s">
        <v>47</v>
      </c>
      <c r="M16" s="2" t="s">
        <v>524</v>
      </c>
      <c r="N16" s="2" t="s">
        <v>48</v>
      </c>
      <c r="O16" s="2" t="s">
        <v>48</v>
      </c>
      <c r="P16" s="2"/>
      <c r="Q16" s="2"/>
      <c r="R16" s="5"/>
      <c r="S16" s="5"/>
      <c r="T16" s="2"/>
      <c r="U16" s="51"/>
      <c r="V16" s="2"/>
      <c r="W16" s="2"/>
      <c r="X16" s="2"/>
      <c r="Y16" s="2"/>
      <c r="Z16" s="51"/>
      <c r="AA16" s="2" t="s">
        <v>508</v>
      </c>
      <c r="AB16" s="2" t="s">
        <v>510</v>
      </c>
      <c r="AC16" s="2" t="s">
        <v>509</v>
      </c>
      <c r="AD16" s="4">
        <v>40</v>
      </c>
      <c r="AE16" s="2" t="s">
        <v>630</v>
      </c>
      <c r="AF16" s="2" t="s">
        <v>50</v>
      </c>
      <c r="AG16" s="2" t="s">
        <v>631</v>
      </c>
      <c r="AH16" s="2"/>
      <c r="AI16" s="48"/>
      <c r="AJ16" s="2"/>
      <c r="AK16" s="2"/>
      <c r="AL16" s="51"/>
      <c r="AM16" s="2"/>
      <c r="AN16" s="2"/>
      <c r="AO16" s="2"/>
      <c r="AP16" s="51"/>
      <c r="AQ16" s="2"/>
      <c r="AR16" s="2"/>
      <c r="AS16" s="2"/>
      <c r="AT16" s="51"/>
      <c r="AU16" s="7">
        <v>48.4</v>
      </c>
      <c r="AV16" s="5"/>
      <c r="AW16" s="5"/>
      <c r="AX16" s="5"/>
      <c r="AY16" s="2"/>
      <c r="AZ16" s="2" t="s">
        <v>52</v>
      </c>
      <c r="BA16" s="2" t="s">
        <v>53</v>
      </c>
      <c r="BB16" s="2" t="s">
        <v>400</v>
      </c>
      <c r="BC16" s="2" t="s">
        <v>399</v>
      </c>
      <c r="BD16" s="9"/>
      <c r="BE16" s="4" t="str">
        <f t="shared" si="0"/>
        <v>0103204640</v>
      </c>
      <c r="BF16" s="4">
        <f t="shared" si="1"/>
        <v>0</v>
      </c>
      <c r="BG16" s="4"/>
      <c r="BH16" s="24"/>
      <c r="BI16" s="4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x14ac:dyDescent="0.25">
      <c r="A17" s="11" t="s">
        <v>95</v>
      </c>
      <c r="B17" s="23" t="s">
        <v>96</v>
      </c>
      <c r="C17" s="2" t="s">
        <v>97</v>
      </c>
      <c r="D17" s="12">
        <v>1102434592</v>
      </c>
      <c r="E17" s="4"/>
      <c r="F17" s="5">
        <v>23900</v>
      </c>
      <c r="G17" s="4">
        <f>2026-1965</f>
        <v>61</v>
      </c>
      <c r="H17" s="2" t="s">
        <v>401</v>
      </c>
      <c r="I17" s="2" t="s">
        <v>45</v>
      </c>
      <c r="J17" s="2" t="s">
        <v>46</v>
      </c>
      <c r="K17" s="2" t="s">
        <v>47</v>
      </c>
      <c r="L17" s="2" t="s">
        <v>47</v>
      </c>
      <c r="M17" s="2" t="s">
        <v>525</v>
      </c>
      <c r="N17" s="2" t="s">
        <v>48</v>
      </c>
      <c r="O17" s="2" t="s">
        <v>48</v>
      </c>
      <c r="P17" s="2"/>
      <c r="Q17" s="2"/>
      <c r="R17" s="5"/>
      <c r="S17" s="5"/>
      <c r="T17" s="2"/>
      <c r="U17" s="51"/>
      <c r="V17" s="2"/>
      <c r="W17" s="2"/>
      <c r="X17" s="2"/>
      <c r="Y17" s="2"/>
      <c r="Z17" s="51"/>
      <c r="AA17" s="2" t="s">
        <v>508</v>
      </c>
      <c r="AB17" s="2" t="s">
        <v>510</v>
      </c>
      <c r="AC17" s="2" t="s">
        <v>509</v>
      </c>
      <c r="AD17" s="4">
        <v>40</v>
      </c>
      <c r="AE17" s="2"/>
      <c r="AF17" s="2"/>
      <c r="AG17" s="2"/>
      <c r="AH17" s="2"/>
      <c r="AI17" s="48"/>
      <c r="AJ17" s="2"/>
      <c r="AK17" s="2"/>
      <c r="AL17" s="51"/>
      <c r="AM17" s="2" t="s">
        <v>98</v>
      </c>
      <c r="AN17" s="2" t="s">
        <v>50</v>
      </c>
      <c r="AO17" s="2" t="s">
        <v>413</v>
      </c>
      <c r="AP17" s="51" t="s">
        <v>99</v>
      </c>
      <c r="AQ17" s="2"/>
      <c r="AR17" s="2"/>
      <c r="AS17" s="2"/>
      <c r="AT17" s="51"/>
      <c r="AU17" s="7">
        <v>48.4</v>
      </c>
      <c r="AV17" s="5"/>
      <c r="AW17" s="5"/>
      <c r="AX17" s="5"/>
      <c r="AY17" s="2"/>
      <c r="AZ17" s="2" t="s">
        <v>52</v>
      </c>
      <c r="BA17" s="2" t="s">
        <v>53</v>
      </c>
      <c r="BB17" s="2" t="s">
        <v>400</v>
      </c>
      <c r="BC17" s="2" t="s">
        <v>399</v>
      </c>
      <c r="BD17" s="9"/>
      <c r="BE17" s="4">
        <f t="shared" si="0"/>
        <v>1102434592</v>
      </c>
      <c r="BF17" s="4">
        <f t="shared" si="1"/>
        <v>0</v>
      </c>
      <c r="BG17" s="4"/>
      <c r="BH17" s="24"/>
      <c r="BI17" s="4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25">
      <c r="A18" s="4"/>
      <c r="B18" s="23" t="s">
        <v>100</v>
      </c>
      <c r="C18" s="2" t="s">
        <v>101</v>
      </c>
      <c r="D18" s="10">
        <v>1600902967</v>
      </c>
      <c r="E18" s="4"/>
      <c r="F18" s="5">
        <v>32609</v>
      </c>
      <c r="G18" s="4">
        <f>2026-1989</f>
        <v>37</v>
      </c>
      <c r="H18" s="2" t="s">
        <v>401</v>
      </c>
      <c r="I18" s="2" t="s">
        <v>45</v>
      </c>
      <c r="J18" s="2" t="s">
        <v>46</v>
      </c>
      <c r="K18" s="2" t="s">
        <v>47</v>
      </c>
      <c r="L18" s="2" t="s">
        <v>47</v>
      </c>
      <c r="M18" s="2" t="s">
        <v>526</v>
      </c>
      <c r="N18" s="2" t="s">
        <v>48</v>
      </c>
      <c r="O18" s="2" t="s">
        <v>48</v>
      </c>
      <c r="P18" s="2"/>
      <c r="Q18" s="2"/>
      <c r="R18" s="5"/>
      <c r="S18" s="5"/>
      <c r="T18" s="2"/>
      <c r="U18" s="51"/>
      <c r="V18" s="2"/>
      <c r="W18" s="2"/>
      <c r="X18" s="2"/>
      <c r="Y18" s="2"/>
      <c r="Z18" s="51"/>
      <c r="AA18" s="2" t="s">
        <v>508</v>
      </c>
      <c r="AB18" s="2" t="s">
        <v>510</v>
      </c>
      <c r="AC18" s="2" t="s">
        <v>509</v>
      </c>
      <c r="AD18" s="4">
        <v>40</v>
      </c>
      <c r="AE18" s="2"/>
      <c r="AF18" s="2"/>
      <c r="AG18" s="2"/>
      <c r="AH18" s="2"/>
      <c r="AI18" s="48" t="s">
        <v>102</v>
      </c>
      <c r="AJ18" s="2" t="s">
        <v>50</v>
      </c>
      <c r="AK18" s="2" t="s">
        <v>405</v>
      </c>
      <c r="AL18" s="51" t="s">
        <v>103</v>
      </c>
      <c r="AM18" s="2"/>
      <c r="AN18" s="2"/>
      <c r="AO18" s="2"/>
      <c r="AP18" s="51"/>
      <c r="AQ18" s="2"/>
      <c r="AR18" s="2"/>
      <c r="AS18" s="2"/>
      <c r="AT18" s="51"/>
      <c r="AU18" s="7">
        <v>48.4</v>
      </c>
      <c r="AV18" s="5"/>
      <c r="AW18" s="5"/>
      <c r="AX18" s="5"/>
      <c r="AY18" s="2"/>
      <c r="AZ18" s="2" t="s">
        <v>52</v>
      </c>
      <c r="BA18" s="2" t="s">
        <v>53</v>
      </c>
      <c r="BB18" s="2" t="s">
        <v>400</v>
      </c>
      <c r="BC18" s="2" t="s">
        <v>399</v>
      </c>
      <c r="BD18" s="9"/>
      <c r="BE18" s="4">
        <f t="shared" si="0"/>
        <v>1600902967</v>
      </c>
      <c r="BF18" s="4">
        <f t="shared" si="1"/>
        <v>0</v>
      </c>
      <c r="BG18" s="4"/>
      <c r="BH18" s="24"/>
      <c r="BI18" s="4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x14ac:dyDescent="0.25">
      <c r="A19" s="11" t="s">
        <v>62</v>
      </c>
      <c r="B19" s="23" t="s">
        <v>104</v>
      </c>
      <c r="C19" s="2" t="s">
        <v>105</v>
      </c>
      <c r="D19" s="10">
        <v>1400431563</v>
      </c>
      <c r="E19" s="4"/>
      <c r="F19" s="5">
        <v>30499</v>
      </c>
      <c r="G19" s="4">
        <f>2026-1983</f>
        <v>43</v>
      </c>
      <c r="H19" s="2" t="s">
        <v>401</v>
      </c>
      <c r="I19" s="2" t="s">
        <v>45</v>
      </c>
      <c r="J19" s="2" t="s">
        <v>46</v>
      </c>
      <c r="K19" s="2" t="s">
        <v>47</v>
      </c>
      <c r="L19" s="2" t="s">
        <v>47</v>
      </c>
      <c r="M19" s="2" t="s">
        <v>527</v>
      </c>
      <c r="N19" s="2" t="s">
        <v>48</v>
      </c>
      <c r="O19" s="2" t="s">
        <v>48</v>
      </c>
      <c r="P19" s="2"/>
      <c r="Q19" s="2"/>
      <c r="R19" s="5"/>
      <c r="S19" s="5"/>
      <c r="T19" s="2"/>
      <c r="U19" s="51"/>
      <c r="V19" s="2"/>
      <c r="W19" s="2"/>
      <c r="X19" s="2"/>
      <c r="Y19" s="2"/>
      <c r="Z19" s="51"/>
      <c r="AA19" s="2" t="s">
        <v>508</v>
      </c>
      <c r="AB19" s="2" t="s">
        <v>510</v>
      </c>
      <c r="AC19" s="2" t="s">
        <v>509</v>
      </c>
      <c r="AD19" s="4">
        <v>40</v>
      </c>
      <c r="AE19" s="2"/>
      <c r="AF19" s="2"/>
      <c r="AG19" s="2"/>
      <c r="AH19" s="2"/>
      <c r="AI19" s="48" t="s">
        <v>91</v>
      </c>
      <c r="AJ19" s="2" t="s">
        <v>50</v>
      </c>
      <c r="AK19" s="2" t="s">
        <v>47</v>
      </c>
      <c r="AL19" s="51" t="s">
        <v>79</v>
      </c>
      <c r="AM19" s="2"/>
      <c r="AN19" s="2"/>
      <c r="AO19" s="2"/>
      <c r="AP19" s="51"/>
      <c r="AQ19" s="2"/>
      <c r="AR19" s="2"/>
      <c r="AS19" s="2"/>
      <c r="AT19" s="51"/>
      <c r="AU19" s="7">
        <v>48.4</v>
      </c>
      <c r="AV19" s="5"/>
      <c r="AW19" s="5"/>
      <c r="AX19" s="5"/>
      <c r="AY19" s="2"/>
      <c r="AZ19" s="2" t="s">
        <v>52</v>
      </c>
      <c r="BA19" s="2" t="s">
        <v>53</v>
      </c>
      <c r="BB19" s="2" t="s">
        <v>400</v>
      </c>
      <c r="BC19" s="2" t="s">
        <v>399</v>
      </c>
      <c r="BD19" s="9"/>
      <c r="BE19" s="4">
        <f t="shared" si="0"/>
        <v>1400431563</v>
      </c>
      <c r="BF19" s="4">
        <f t="shared" si="1"/>
        <v>0</v>
      </c>
      <c r="BG19" s="4"/>
      <c r="BH19" s="24"/>
      <c r="BI19" s="4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x14ac:dyDescent="0.25">
      <c r="A20" s="4" t="s">
        <v>62</v>
      </c>
      <c r="B20" s="23" t="s">
        <v>106</v>
      </c>
      <c r="C20" s="2" t="s">
        <v>107</v>
      </c>
      <c r="D20" s="10" t="s">
        <v>108</v>
      </c>
      <c r="E20" s="4"/>
      <c r="F20" s="5">
        <v>24646</v>
      </c>
      <c r="G20" s="4">
        <f>2026-1967</f>
        <v>59</v>
      </c>
      <c r="H20" s="2" t="s">
        <v>401</v>
      </c>
      <c r="I20" s="2" t="s">
        <v>45</v>
      </c>
      <c r="J20" s="2" t="s">
        <v>46</v>
      </c>
      <c r="K20" s="2" t="s">
        <v>47</v>
      </c>
      <c r="L20" s="2" t="s">
        <v>47</v>
      </c>
      <c r="M20" s="2" t="s">
        <v>528</v>
      </c>
      <c r="N20" s="2" t="s">
        <v>48</v>
      </c>
      <c r="O20" s="2" t="s">
        <v>48</v>
      </c>
      <c r="P20" s="2"/>
      <c r="Q20" s="2"/>
      <c r="R20" s="5"/>
      <c r="S20" s="5"/>
      <c r="T20" s="2"/>
      <c r="U20" s="51"/>
      <c r="V20" s="2"/>
      <c r="W20" s="2"/>
      <c r="X20" s="2"/>
      <c r="Y20" s="2"/>
      <c r="Z20" s="51"/>
      <c r="AA20" s="2" t="s">
        <v>508</v>
      </c>
      <c r="AB20" s="2" t="s">
        <v>510</v>
      </c>
      <c r="AC20" s="2" t="s">
        <v>509</v>
      </c>
      <c r="AD20" s="4">
        <v>40</v>
      </c>
      <c r="AE20" s="2" t="s">
        <v>630</v>
      </c>
      <c r="AF20" s="2" t="s">
        <v>50</v>
      </c>
      <c r="AG20" s="2" t="s">
        <v>631</v>
      </c>
      <c r="AH20" s="2"/>
      <c r="AI20" s="48"/>
      <c r="AJ20" s="2"/>
      <c r="AK20" s="2"/>
      <c r="AL20" s="51"/>
      <c r="AM20" s="2"/>
      <c r="AN20" s="2"/>
      <c r="AO20" s="2"/>
      <c r="AP20" s="51"/>
      <c r="AQ20" s="2"/>
      <c r="AR20" s="2"/>
      <c r="AS20" s="2"/>
      <c r="AT20" s="51"/>
      <c r="AU20" s="7">
        <v>48.4</v>
      </c>
      <c r="AV20" s="5"/>
      <c r="AW20" s="5"/>
      <c r="AX20" s="5"/>
      <c r="AY20" s="2"/>
      <c r="AZ20" s="2" t="s">
        <v>52</v>
      </c>
      <c r="BA20" s="2" t="s">
        <v>53</v>
      </c>
      <c r="BB20" s="2" t="s">
        <v>400</v>
      </c>
      <c r="BC20" s="2" t="s">
        <v>399</v>
      </c>
      <c r="BD20" s="9"/>
      <c r="BE20" s="4" t="str">
        <f t="shared" si="0"/>
        <v>1709345878</v>
      </c>
      <c r="BF20" s="4">
        <f t="shared" si="1"/>
        <v>0</v>
      </c>
      <c r="BG20" s="4"/>
      <c r="BH20" s="24"/>
      <c r="BI20" s="4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x14ac:dyDescent="0.25">
      <c r="A21" s="11" t="s">
        <v>95</v>
      </c>
      <c r="B21" s="23" t="s">
        <v>109</v>
      </c>
      <c r="C21" s="2" t="s">
        <v>110</v>
      </c>
      <c r="D21" s="10">
        <v>1400309090</v>
      </c>
      <c r="E21" s="4"/>
      <c r="F21" s="5">
        <v>25496</v>
      </c>
      <c r="G21" s="4">
        <f>2026-1969</f>
        <v>57</v>
      </c>
      <c r="H21" s="2" t="s">
        <v>401</v>
      </c>
      <c r="I21" s="2" t="s">
        <v>45</v>
      </c>
      <c r="J21" s="2" t="s">
        <v>46</v>
      </c>
      <c r="K21" s="2" t="s">
        <v>47</v>
      </c>
      <c r="L21" s="2" t="s">
        <v>47</v>
      </c>
      <c r="M21" s="2" t="s">
        <v>529</v>
      </c>
      <c r="N21" s="2" t="s">
        <v>48</v>
      </c>
      <c r="O21" s="2" t="s">
        <v>48</v>
      </c>
      <c r="P21" s="2"/>
      <c r="Q21" s="2"/>
      <c r="R21" s="5"/>
      <c r="S21" s="5"/>
      <c r="T21" s="2"/>
      <c r="U21" s="51"/>
      <c r="V21" s="2"/>
      <c r="W21" s="2"/>
      <c r="X21" s="2"/>
      <c r="Y21" s="2"/>
      <c r="Z21" s="51"/>
      <c r="AA21" s="2" t="s">
        <v>508</v>
      </c>
      <c r="AB21" s="2" t="s">
        <v>510</v>
      </c>
      <c r="AC21" s="2" t="s">
        <v>509</v>
      </c>
      <c r="AD21" s="4">
        <v>40</v>
      </c>
      <c r="AE21" s="2"/>
      <c r="AF21" s="2"/>
      <c r="AG21" s="2"/>
      <c r="AH21" s="2"/>
      <c r="AI21" s="48" t="s">
        <v>111</v>
      </c>
      <c r="AJ21" s="2" t="s">
        <v>50</v>
      </c>
      <c r="AK21" s="2" t="s">
        <v>406</v>
      </c>
      <c r="AL21" s="51" t="s">
        <v>79</v>
      </c>
      <c r="AM21" s="2" t="s">
        <v>112</v>
      </c>
      <c r="AN21" s="2" t="s">
        <v>50</v>
      </c>
      <c r="AO21" s="2" t="s">
        <v>420</v>
      </c>
      <c r="AP21" s="51" t="s">
        <v>113</v>
      </c>
      <c r="AQ21" s="2"/>
      <c r="AR21" s="2"/>
      <c r="AS21" s="2"/>
      <c r="AT21" s="51"/>
      <c r="AU21" s="7">
        <v>48.4</v>
      </c>
      <c r="AV21" s="5"/>
      <c r="AW21" s="5"/>
      <c r="AX21" s="5"/>
      <c r="AY21" s="2"/>
      <c r="AZ21" s="2" t="s">
        <v>52</v>
      </c>
      <c r="BA21" s="2" t="s">
        <v>53</v>
      </c>
      <c r="BB21" s="2" t="s">
        <v>400</v>
      </c>
      <c r="BC21" s="2" t="s">
        <v>399</v>
      </c>
      <c r="BD21" s="9"/>
      <c r="BE21" s="4">
        <f t="shared" si="0"/>
        <v>1400309090</v>
      </c>
      <c r="BF21" s="4">
        <f t="shared" si="1"/>
        <v>0</v>
      </c>
      <c r="BG21" s="4"/>
      <c r="BH21" s="24"/>
      <c r="BI21" s="4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x14ac:dyDescent="0.25">
      <c r="A22" s="11" t="s">
        <v>95</v>
      </c>
      <c r="B22" s="23" t="s">
        <v>114</v>
      </c>
      <c r="C22" s="2" t="s">
        <v>115</v>
      </c>
      <c r="D22" s="10">
        <v>1401293681</v>
      </c>
      <c r="E22" s="4"/>
      <c r="F22" s="5">
        <v>36536</v>
      </c>
      <c r="G22" s="4">
        <f>2026-2000</f>
        <v>26</v>
      </c>
      <c r="H22" s="2" t="s">
        <v>401</v>
      </c>
      <c r="I22" s="2" t="s">
        <v>45</v>
      </c>
      <c r="J22" s="2" t="s">
        <v>46</v>
      </c>
      <c r="K22" s="2" t="s">
        <v>47</v>
      </c>
      <c r="L22" s="2" t="s">
        <v>47</v>
      </c>
      <c r="M22" s="2" t="s">
        <v>530</v>
      </c>
      <c r="N22" s="2" t="s">
        <v>48</v>
      </c>
      <c r="O22" s="2" t="s">
        <v>48</v>
      </c>
      <c r="P22" s="2"/>
      <c r="Q22" s="2"/>
      <c r="R22" s="5"/>
      <c r="S22" s="5"/>
      <c r="T22" s="2"/>
      <c r="U22" s="51"/>
      <c r="V22" s="2"/>
      <c r="W22" s="2"/>
      <c r="X22" s="2"/>
      <c r="Y22" s="2"/>
      <c r="Z22" s="51"/>
      <c r="AA22" s="2" t="s">
        <v>508</v>
      </c>
      <c r="AB22" s="2" t="s">
        <v>510</v>
      </c>
      <c r="AC22" s="2" t="s">
        <v>509</v>
      </c>
      <c r="AD22" s="4">
        <v>40</v>
      </c>
      <c r="AE22" s="2"/>
      <c r="AF22" s="2"/>
      <c r="AG22" s="2"/>
      <c r="AH22" s="2"/>
      <c r="AI22" s="48" t="s">
        <v>116</v>
      </c>
      <c r="AJ22" s="2" t="s">
        <v>50</v>
      </c>
      <c r="AK22" s="2" t="s">
        <v>407</v>
      </c>
      <c r="AL22" s="51" t="s">
        <v>79</v>
      </c>
      <c r="AM22" s="2" t="s">
        <v>117</v>
      </c>
      <c r="AN22" s="2" t="s">
        <v>50</v>
      </c>
      <c r="AO22" s="2" t="s">
        <v>421</v>
      </c>
      <c r="AP22" s="51" t="s">
        <v>118</v>
      </c>
      <c r="AQ22" s="2"/>
      <c r="AR22" s="2"/>
      <c r="AS22" s="2"/>
      <c r="AT22" s="51"/>
      <c r="AU22" s="7">
        <v>48.4</v>
      </c>
      <c r="AV22" s="5"/>
      <c r="AW22" s="5"/>
      <c r="AX22" s="5"/>
      <c r="AY22" s="2"/>
      <c r="AZ22" s="2" t="s">
        <v>52</v>
      </c>
      <c r="BA22" s="2" t="s">
        <v>53</v>
      </c>
      <c r="BB22" s="2" t="s">
        <v>400</v>
      </c>
      <c r="BC22" s="2" t="s">
        <v>399</v>
      </c>
      <c r="BD22" s="9"/>
      <c r="BE22" s="4">
        <f t="shared" si="0"/>
        <v>1401293681</v>
      </c>
      <c r="BF22" s="4">
        <f t="shared" si="1"/>
        <v>0</v>
      </c>
      <c r="BG22" s="4"/>
      <c r="BH22" s="24"/>
      <c r="BI22" s="4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x14ac:dyDescent="0.25">
      <c r="A23" s="4" t="s">
        <v>58</v>
      </c>
      <c r="B23" s="23" t="s">
        <v>119</v>
      </c>
      <c r="C23" s="2" t="s">
        <v>120</v>
      </c>
      <c r="D23" s="10" t="s">
        <v>121</v>
      </c>
      <c r="E23" s="4"/>
      <c r="F23" s="5">
        <v>23231</v>
      </c>
      <c r="G23" s="4">
        <f>2026-1963</f>
        <v>63</v>
      </c>
      <c r="H23" s="2" t="s">
        <v>401</v>
      </c>
      <c r="I23" s="2" t="s">
        <v>45</v>
      </c>
      <c r="J23" s="2" t="s">
        <v>46</v>
      </c>
      <c r="K23" s="2" t="s">
        <v>47</v>
      </c>
      <c r="L23" s="2" t="s">
        <v>47</v>
      </c>
      <c r="M23" s="2" t="s">
        <v>531</v>
      </c>
      <c r="N23" s="2" t="s">
        <v>48</v>
      </c>
      <c r="O23" s="2" t="s">
        <v>48</v>
      </c>
      <c r="P23" s="2"/>
      <c r="Q23" s="2"/>
      <c r="R23" s="5"/>
      <c r="S23" s="5"/>
      <c r="T23" s="2"/>
      <c r="U23" s="51"/>
      <c r="V23" s="2"/>
      <c r="W23" s="2"/>
      <c r="X23" s="2"/>
      <c r="Y23" s="2"/>
      <c r="Z23" s="51"/>
      <c r="AA23" s="2" t="s">
        <v>508</v>
      </c>
      <c r="AB23" s="2" t="s">
        <v>510</v>
      </c>
      <c r="AC23" s="2" t="s">
        <v>509</v>
      </c>
      <c r="AD23" s="4">
        <v>40</v>
      </c>
      <c r="AE23" s="2" t="s">
        <v>630</v>
      </c>
      <c r="AF23" s="2" t="s">
        <v>50</v>
      </c>
      <c r="AG23" s="2" t="s">
        <v>631</v>
      </c>
      <c r="AH23" s="2"/>
      <c r="AI23" s="48"/>
      <c r="AJ23" s="2"/>
      <c r="AK23" s="2"/>
      <c r="AL23" s="51"/>
      <c r="AM23" s="2"/>
      <c r="AN23" s="2"/>
      <c r="AO23" s="2"/>
      <c r="AP23" s="51"/>
      <c r="AQ23" s="2"/>
      <c r="AR23" s="2"/>
      <c r="AS23" s="2"/>
      <c r="AT23" s="51"/>
      <c r="AU23" s="7">
        <v>48.4</v>
      </c>
      <c r="AV23" s="5"/>
      <c r="AW23" s="5"/>
      <c r="AX23" s="5"/>
      <c r="AY23" s="2"/>
      <c r="AZ23" s="2" t="s">
        <v>52</v>
      </c>
      <c r="BA23" s="2" t="s">
        <v>53</v>
      </c>
      <c r="BB23" s="2" t="s">
        <v>400</v>
      </c>
      <c r="BC23" s="2" t="s">
        <v>399</v>
      </c>
      <c r="BD23" s="9"/>
      <c r="BE23" s="4" t="str">
        <f t="shared" si="0"/>
        <v>0602255887</v>
      </c>
      <c r="BF23" s="4">
        <f t="shared" si="1"/>
        <v>0</v>
      </c>
      <c r="BG23" s="4"/>
      <c r="BH23" s="24"/>
      <c r="BI23" s="4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15" customHeight="1" x14ac:dyDescent="0.25">
      <c r="A24" s="13" t="s">
        <v>62</v>
      </c>
      <c r="B24" s="23" t="s">
        <v>122</v>
      </c>
      <c r="C24" s="14" t="s">
        <v>123</v>
      </c>
      <c r="D24" s="10">
        <v>1801662014</v>
      </c>
      <c r="E24" s="13"/>
      <c r="F24" s="15">
        <v>22367</v>
      </c>
      <c r="G24" s="13">
        <f>2026-1961</f>
        <v>65</v>
      </c>
      <c r="H24" s="2" t="s">
        <v>401</v>
      </c>
      <c r="I24" s="2" t="s">
        <v>45</v>
      </c>
      <c r="J24" s="2" t="s">
        <v>46</v>
      </c>
      <c r="K24" s="2" t="s">
        <v>47</v>
      </c>
      <c r="L24" s="2" t="s">
        <v>47</v>
      </c>
      <c r="M24" t="s">
        <v>532</v>
      </c>
      <c r="N24" s="2" t="s">
        <v>48</v>
      </c>
      <c r="O24" s="2" t="s">
        <v>48</v>
      </c>
      <c r="U24" s="52"/>
      <c r="Z24" s="52"/>
      <c r="AA24" s="2" t="s">
        <v>508</v>
      </c>
      <c r="AB24" s="2" t="s">
        <v>510</v>
      </c>
      <c r="AC24" s="2" t="s">
        <v>509</v>
      </c>
      <c r="AD24" s="4">
        <v>40</v>
      </c>
      <c r="AE24" s="2" t="s">
        <v>630</v>
      </c>
      <c r="AF24" s="2" t="s">
        <v>50</v>
      </c>
      <c r="AG24" s="2" t="s">
        <v>631</v>
      </c>
      <c r="AI24" s="49"/>
      <c r="AL24" s="52"/>
      <c r="AP24" s="52"/>
      <c r="AT24" s="52"/>
      <c r="AU24" s="7">
        <v>48.4</v>
      </c>
      <c r="AZ24" s="2" t="s">
        <v>52</v>
      </c>
      <c r="BA24" s="2" t="s">
        <v>53</v>
      </c>
      <c r="BB24" s="2" t="s">
        <v>400</v>
      </c>
      <c r="BC24" s="2" t="s">
        <v>399</v>
      </c>
      <c r="BD24" s="16"/>
      <c r="BE24" s="4">
        <f t="shared" si="0"/>
        <v>1801662014</v>
      </c>
      <c r="BF24" s="4">
        <f t="shared" si="1"/>
        <v>0</v>
      </c>
      <c r="BG24" s="17"/>
      <c r="BH24" s="37"/>
      <c r="BI24" s="17"/>
    </row>
    <row r="25" spans="1:73" ht="15" customHeight="1" x14ac:dyDescent="0.25">
      <c r="A25" s="13"/>
      <c r="B25" s="23" t="s">
        <v>124</v>
      </c>
      <c r="C25" s="14" t="s">
        <v>125</v>
      </c>
      <c r="D25" s="10">
        <v>1400895148</v>
      </c>
      <c r="E25" s="13"/>
      <c r="F25" s="15">
        <v>32788</v>
      </c>
      <c r="G25" s="13">
        <f>2026-1989</f>
        <v>37</v>
      </c>
      <c r="H25" s="2" t="s">
        <v>401</v>
      </c>
      <c r="I25" s="2" t="s">
        <v>45</v>
      </c>
      <c r="J25" s="2" t="s">
        <v>46</v>
      </c>
      <c r="K25" s="2" t="s">
        <v>47</v>
      </c>
      <c r="L25" s="2" t="s">
        <v>47</v>
      </c>
      <c r="M25" t="s">
        <v>533</v>
      </c>
      <c r="N25" s="2" t="s">
        <v>48</v>
      </c>
      <c r="O25" s="2" t="s">
        <v>48</v>
      </c>
      <c r="U25" s="52"/>
      <c r="Z25" s="52"/>
      <c r="AA25" s="2" t="s">
        <v>508</v>
      </c>
      <c r="AB25" s="2" t="s">
        <v>510</v>
      </c>
      <c r="AC25" s="2" t="s">
        <v>509</v>
      </c>
      <c r="AD25" s="4">
        <v>40</v>
      </c>
      <c r="AI25" s="25" t="s">
        <v>126</v>
      </c>
      <c r="AJ25" s="14" t="s">
        <v>50</v>
      </c>
      <c r="AK25" s="14" t="s">
        <v>408</v>
      </c>
      <c r="AL25" s="53" t="s">
        <v>127</v>
      </c>
      <c r="AM25" s="14"/>
      <c r="AN25" s="14"/>
      <c r="AO25" s="14"/>
      <c r="AP25" s="53"/>
      <c r="AQ25" s="14"/>
      <c r="AR25" s="14"/>
      <c r="AS25" s="14"/>
      <c r="AT25" s="53"/>
      <c r="AU25" s="7">
        <v>48.4</v>
      </c>
      <c r="AZ25" s="2" t="s">
        <v>52</v>
      </c>
      <c r="BA25" s="2" t="s">
        <v>53</v>
      </c>
      <c r="BB25" s="2" t="s">
        <v>400</v>
      </c>
      <c r="BC25" s="2" t="s">
        <v>399</v>
      </c>
      <c r="BD25" s="16"/>
      <c r="BE25" s="4">
        <f t="shared" si="0"/>
        <v>1400895148</v>
      </c>
      <c r="BF25" s="4">
        <f t="shared" si="1"/>
        <v>0</v>
      </c>
      <c r="BG25" s="17"/>
      <c r="BH25" s="37"/>
      <c r="BI25" s="17"/>
    </row>
    <row r="26" spans="1:73" ht="15" customHeight="1" x14ac:dyDescent="0.25">
      <c r="A26" s="13"/>
      <c r="B26" s="23" t="s">
        <v>128</v>
      </c>
      <c r="C26" s="14" t="s">
        <v>129</v>
      </c>
      <c r="D26" s="10">
        <v>1400352017</v>
      </c>
      <c r="E26" s="13"/>
      <c r="F26" s="15">
        <v>29085</v>
      </c>
      <c r="G26" s="13">
        <f>2026-1979</f>
        <v>47</v>
      </c>
      <c r="H26" s="2" t="s">
        <v>401</v>
      </c>
      <c r="I26" s="2" t="s">
        <v>45</v>
      </c>
      <c r="J26" s="2" t="s">
        <v>46</v>
      </c>
      <c r="K26" s="2" t="s">
        <v>47</v>
      </c>
      <c r="L26" s="2" t="s">
        <v>47</v>
      </c>
      <c r="M26" t="s">
        <v>534</v>
      </c>
      <c r="N26" s="2" t="s">
        <v>48</v>
      </c>
      <c r="O26" s="2" t="s">
        <v>48</v>
      </c>
      <c r="U26" s="52"/>
      <c r="Z26" s="52"/>
      <c r="AA26" s="2" t="s">
        <v>508</v>
      </c>
      <c r="AB26" s="2" t="s">
        <v>510</v>
      </c>
      <c r="AC26" s="2" t="s">
        <v>509</v>
      </c>
      <c r="AD26" s="4">
        <v>40</v>
      </c>
      <c r="AI26" s="25" t="s">
        <v>82</v>
      </c>
      <c r="AJ26" s="14" t="s">
        <v>50</v>
      </c>
      <c r="AK26" s="14" t="s">
        <v>47</v>
      </c>
      <c r="AL26" s="53" t="s">
        <v>86</v>
      </c>
      <c r="AM26" s="14"/>
      <c r="AN26" s="14"/>
      <c r="AO26" s="14"/>
      <c r="AP26" s="53"/>
      <c r="AQ26" s="14"/>
      <c r="AR26" s="14"/>
      <c r="AS26" s="14"/>
      <c r="AT26" s="53"/>
      <c r="AU26" s="7">
        <v>48.4</v>
      </c>
      <c r="AZ26" s="2" t="s">
        <v>52</v>
      </c>
      <c r="BA26" s="2" t="s">
        <v>53</v>
      </c>
      <c r="BB26" s="2" t="s">
        <v>400</v>
      </c>
      <c r="BC26" s="2" t="s">
        <v>399</v>
      </c>
      <c r="BD26" s="16"/>
      <c r="BE26" s="4">
        <f t="shared" si="0"/>
        <v>1400352017</v>
      </c>
      <c r="BF26" s="4">
        <f t="shared" si="1"/>
        <v>0</v>
      </c>
      <c r="BG26" s="17"/>
      <c r="BH26" s="37"/>
      <c r="BI26" s="17"/>
    </row>
    <row r="27" spans="1:73" ht="15" customHeight="1" x14ac:dyDescent="0.25">
      <c r="A27" s="13"/>
      <c r="B27" s="23" t="s">
        <v>130</v>
      </c>
      <c r="C27" s="14" t="s">
        <v>131</v>
      </c>
      <c r="D27" s="10">
        <v>1400500938</v>
      </c>
      <c r="E27" s="13"/>
      <c r="F27" s="15">
        <v>28067</v>
      </c>
      <c r="G27" s="13">
        <f>2026-1976</f>
        <v>50</v>
      </c>
      <c r="H27" s="2" t="s">
        <v>401</v>
      </c>
      <c r="I27" s="2" t="s">
        <v>45</v>
      </c>
      <c r="J27" s="2" t="s">
        <v>46</v>
      </c>
      <c r="K27" s="2" t="s">
        <v>47</v>
      </c>
      <c r="L27" s="2" t="s">
        <v>47</v>
      </c>
      <c r="M27" t="s">
        <v>535</v>
      </c>
      <c r="N27" s="2" t="s">
        <v>48</v>
      </c>
      <c r="O27" s="2" t="s">
        <v>48</v>
      </c>
      <c r="U27" s="52"/>
      <c r="Z27" s="52"/>
      <c r="AA27" s="2" t="s">
        <v>508</v>
      </c>
      <c r="AB27" s="2" t="s">
        <v>510</v>
      </c>
      <c r="AC27" s="2" t="s">
        <v>509</v>
      </c>
      <c r="AD27" s="4">
        <v>40</v>
      </c>
      <c r="AI27" s="25" t="s">
        <v>132</v>
      </c>
      <c r="AJ27" s="14" t="s">
        <v>50</v>
      </c>
      <c r="AK27" s="14" t="s">
        <v>406</v>
      </c>
      <c r="AL27" s="53" t="s">
        <v>79</v>
      </c>
      <c r="AM27" s="14"/>
      <c r="AN27" s="14"/>
      <c r="AO27" s="14"/>
      <c r="AP27" s="53"/>
      <c r="AQ27" s="14"/>
      <c r="AR27" s="14"/>
      <c r="AS27" s="14"/>
      <c r="AT27" s="53"/>
      <c r="AU27" s="7">
        <v>48.4</v>
      </c>
      <c r="AZ27" s="2" t="s">
        <v>52</v>
      </c>
      <c r="BA27" s="2" t="s">
        <v>53</v>
      </c>
      <c r="BB27" s="2" t="s">
        <v>400</v>
      </c>
      <c r="BC27" s="2" t="s">
        <v>399</v>
      </c>
      <c r="BD27" s="16"/>
      <c r="BE27" s="4">
        <f t="shared" si="0"/>
        <v>1400500938</v>
      </c>
      <c r="BF27" s="4">
        <f t="shared" si="1"/>
        <v>0</v>
      </c>
      <c r="BG27" s="17"/>
      <c r="BH27" s="37"/>
      <c r="BI27" s="17"/>
    </row>
    <row r="28" spans="1:73" ht="15" customHeight="1" x14ac:dyDescent="0.25">
      <c r="A28" s="13"/>
      <c r="B28" s="23" t="s">
        <v>133</v>
      </c>
      <c r="C28" s="14" t="s">
        <v>134</v>
      </c>
      <c r="D28" s="10">
        <v>1400833313</v>
      </c>
      <c r="E28" s="13"/>
      <c r="F28" s="15">
        <v>33768</v>
      </c>
      <c r="G28" s="13">
        <f>2026-1972</f>
        <v>54</v>
      </c>
      <c r="H28" s="2" t="s">
        <v>401</v>
      </c>
      <c r="I28" s="2" t="s">
        <v>45</v>
      </c>
      <c r="J28" s="2" t="s">
        <v>46</v>
      </c>
      <c r="K28" s="2" t="s">
        <v>47</v>
      </c>
      <c r="L28" s="2" t="s">
        <v>47</v>
      </c>
      <c r="M28" t="s">
        <v>536</v>
      </c>
      <c r="N28" s="2" t="s">
        <v>48</v>
      </c>
      <c r="O28" s="2" t="s">
        <v>48</v>
      </c>
      <c r="U28" s="52"/>
      <c r="Z28" s="52"/>
      <c r="AA28" s="2" t="s">
        <v>508</v>
      </c>
      <c r="AB28" s="2" t="s">
        <v>510</v>
      </c>
      <c r="AC28" s="2" t="s">
        <v>509</v>
      </c>
      <c r="AD28" s="4">
        <v>40</v>
      </c>
      <c r="AI28" s="25" t="s">
        <v>135</v>
      </c>
      <c r="AJ28" s="14" t="s">
        <v>50</v>
      </c>
      <c r="AK28" s="14" t="s">
        <v>47</v>
      </c>
      <c r="AL28" s="53" t="s">
        <v>136</v>
      </c>
      <c r="AM28" s="14"/>
      <c r="AN28" s="14"/>
      <c r="AO28" s="14"/>
      <c r="AP28" s="53"/>
      <c r="AQ28" s="14"/>
      <c r="AR28" s="14"/>
      <c r="AS28" s="14"/>
      <c r="AT28" s="53"/>
      <c r="AU28" s="7">
        <v>48.4</v>
      </c>
      <c r="AZ28" s="2" t="s">
        <v>52</v>
      </c>
      <c r="BA28" s="2" t="s">
        <v>53</v>
      </c>
      <c r="BB28" s="2" t="s">
        <v>400</v>
      </c>
      <c r="BC28" s="2" t="s">
        <v>399</v>
      </c>
      <c r="BD28" s="16"/>
      <c r="BE28" s="4">
        <f t="shared" si="0"/>
        <v>1400833313</v>
      </c>
      <c r="BF28" s="4">
        <f t="shared" si="1"/>
        <v>0</v>
      </c>
      <c r="BG28" s="17"/>
      <c r="BH28" s="37"/>
      <c r="BI28" s="17"/>
    </row>
    <row r="29" spans="1:73" ht="15" customHeight="1" x14ac:dyDescent="0.25">
      <c r="A29" s="13"/>
      <c r="B29" s="23" t="s">
        <v>137</v>
      </c>
      <c r="C29" s="14" t="s">
        <v>138</v>
      </c>
      <c r="D29" s="10">
        <v>1400524730</v>
      </c>
      <c r="E29" s="13"/>
      <c r="F29" s="15">
        <v>27949</v>
      </c>
      <c r="G29" s="13">
        <f>2026-1976</f>
        <v>50</v>
      </c>
      <c r="H29" s="2" t="s">
        <v>401</v>
      </c>
      <c r="I29" s="2" t="s">
        <v>45</v>
      </c>
      <c r="J29" s="2" t="s">
        <v>46</v>
      </c>
      <c r="K29" s="2" t="s">
        <v>47</v>
      </c>
      <c r="L29" s="2" t="s">
        <v>47</v>
      </c>
      <c r="M29" t="s">
        <v>537</v>
      </c>
      <c r="N29" s="2" t="s">
        <v>48</v>
      </c>
      <c r="O29" s="2" t="s">
        <v>48</v>
      </c>
      <c r="U29" s="52"/>
      <c r="Z29" s="52"/>
      <c r="AA29" s="2" t="s">
        <v>508</v>
      </c>
      <c r="AB29" s="2" t="s">
        <v>510</v>
      </c>
      <c r="AC29" s="2" t="s">
        <v>509</v>
      </c>
      <c r="AD29" s="4">
        <v>40</v>
      </c>
      <c r="AI29" s="25" t="s">
        <v>132</v>
      </c>
      <c r="AJ29" s="14" t="s">
        <v>50</v>
      </c>
      <c r="AK29" s="14" t="s">
        <v>406</v>
      </c>
      <c r="AL29" s="53" t="s">
        <v>79</v>
      </c>
      <c r="AM29" s="14"/>
      <c r="AN29" s="14"/>
      <c r="AO29" s="14"/>
      <c r="AP29" s="53"/>
      <c r="AQ29" s="14"/>
      <c r="AR29" s="14"/>
      <c r="AS29" s="14"/>
      <c r="AT29" s="53"/>
      <c r="AU29" s="7">
        <v>48.4</v>
      </c>
      <c r="AZ29" s="2" t="s">
        <v>52</v>
      </c>
      <c r="BA29" s="2" t="s">
        <v>53</v>
      </c>
      <c r="BB29" s="2" t="s">
        <v>400</v>
      </c>
      <c r="BC29" s="2" t="s">
        <v>399</v>
      </c>
      <c r="BD29" s="16"/>
      <c r="BE29" s="4">
        <f t="shared" si="0"/>
        <v>1400524730</v>
      </c>
      <c r="BF29" s="4">
        <f t="shared" si="1"/>
        <v>0</v>
      </c>
      <c r="BG29" s="17"/>
      <c r="BH29" s="37"/>
      <c r="BI29" s="17"/>
    </row>
    <row r="30" spans="1:73" ht="15" customHeight="1" x14ac:dyDescent="0.25">
      <c r="A30" s="13" t="s">
        <v>62</v>
      </c>
      <c r="B30" s="23" t="s">
        <v>139</v>
      </c>
      <c r="C30" s="14" t="s">
        <v>140</v>
      </c>
      <c r="D30" s="10">
        <v>1400682306</v>
      </c>
      <c r="E30" s="13"/>
      <c r="F30" s="15">
        <v>29897</v>
      </c>
      <c r="G30" s="13">
        <f>2026-1981</f>
        <v>45</v>
      </c>
      <c r="H30" s="2" t="s">
        <v>401</v>
      </c>
      <c r="I30" s="2" t="s">
        <v>45</v>
      </c>
      <c r="J30" s="2" t="s">
        <v>46</v>
      </c>
      <c r="K30" s="2" t="s">
        <v>47</v>
      </c>
      <c r="L30" s="2" t="s">
        <v>47</v>
      </c>
      <c r="M30" t="s">
        <v>538</v>
      </c>
      <c r="N30" s="2" t="s">
        <v>48</v>
      </c>
      <c r="O30" s="2" t="s">
        <v>48</v>
      </c>
      <c r="U30" s="52"/>
      <c r="Z30" s="52"/>
      <c r="AA30" s="2" t="s">
        <v>508</v>
      </c>
      <c r="AB30" s="2" t="s">
        <v>510</v>
      </c>
      <c r="AC30" s="2" t="s">
        <v>509</v>
      </c>
      <c r="AD30" s="4">
        <v>40</v>
      </c>
      <c r="AE30" s="2" t="s">
        <v>630</v>
      </c>
      <c r="AF30" s="2" t="s">
        <v>50</v>
      </c>
      <c r="AG30" s="2" t="s">
        <v>631</v>
      </c>
      <c r="AI30" s="25"/>
      <c r="AJ30" s="14"/>
      <c r="AK30" s="14"/>
      <c r="AL30" s="53"/>
      <c r="AM30" s="14"/>
      <c r="AN30" s="14"/>
      <c r="AO30" s="14"/>
      <c r="AP30" s="53"/>
      <c r="AQ30" s="14"/>
      <c r="AR30" s="14"/>
      <c r="AS30" s="14"/>
      <c r="AT30" s="53"/>
      <c r="AU30" s="7">
        <v>48.4</v>
      </c>
      <c r="AZ30" s="2" t="s">
        <v>52</v>
      </c>
      <c r="BA30" s="2" t="s">
        <v>53</v>
      </c>
      <c r="BB30" s="2" t="s">
        <v>400</v>
      </c>
      <c r="BC30" s="2" t="s">
        <v>399</v>
      </c>
      <c r="BD30" s="16"/>
      <c r="BE30" s="4">
        <f t="shared" si="0"/>
        <v>1400682306</v>
      </c>
      <c r="BF30" s="4">
        <f t="shared" si="1"/>
        <v>0</v>
      </c>
      <c r="BG30" s="17"/>
      <c r="BH30" s="37"/>
      <c r="BI30" s="17"/>
    </row>
    <row r="31" spans="1:73" ht="15" customHeight="1" x14ac:dyDescent="0.25">
      <c r="A31" s="13" t="s">
        <v>58</v>
      </c>
      <c r="B31" s="23" t="s">
        <v>141</v>
      </c>
      <c r="C31" s="14" t="s">
        <v>142</v>
      </c>
      <c r="D31" s="10">
        <v>1400536965</v>
      </c>
      <c r="E31" s="13"/>
      <c r="F31" s="15">
        <v>28810</v>
      </c>
      <c r="G31" s="13">
        <f>2026-1978</f>
        <v>48</v>
      </c>
      <c r="H31" s="2" t="s">
        <v>401</v>
      </c>
      <c r="I31" s="2" t="s">
        <v>45</v>
      </c>
      <c r="J31" s="2" t="s">
        <v>46</v>
      </c>
      <c r="K31" s="2" t="s">
        <v>47</v>
      </c>
      <c r="L31" s="2" t="s">
        <v>47</v>
      </c>
      <c r="M31" t="s">
        <v>539</v>
      </c>
      <c r="N31" s="2" t="s">
        <v>48</v>
      </c>
      <c r="O31" s="2" t="s">
        <v>48</v>
      </c>
      <c r="U31" s="52"/>
      <c r="Z31" s="52"/>
      <c r="AA31" s="2" t="s">
        <v>508</v>
      </c>
      <c r="AB31" s="2" t="s">
        <v>510</v>
      </c>
      <c r="AC31" s="2" t="s">
        <v>509</v>
      </c>
      <c r="AD31" s="4">
        <v>40</v>
      </c>
      <c r="AE31" s="2" t="s">
        <v>630</v>
      </c>
      <c r="AF31" s="2" t="s">
        <v>50</v>
      </c>
      <c r="AG31" s="2" t="s">
        <v>631</v>
      </c>
      <c r="AI31" s="25"/>
      <c r="AJ31" s="14"/>
      <c r="AK31" s="14"/>
      <c r="AL31" s="53"/>
      <c r="AM31" s="14"/>
      <c r="AN31" s="14"/>
      <c r="AO31" s="14"/>
      <c r="AP31" s="53"/>
      <c r="AQ31" s="14"/>
      <c r="AR31" s="14"/>
      <c r="AS31" s="14"/>
      <c r="AT31" s="53"/>
      <c r="AU31" s="7">
        <v>48.4</v>
      </c>
      <c r="AZ31" s="2" t="s">
        <v>52</v>
      </c>
      <c r="BA31" s="2" t="s">
        <v>53</v>
      </c>
      <c r="BB31" s="2" t="s">
        <v>400</v>
      </c>
      <c r="BC31" s="2" t="s">
        <v>399</v>
      </c>
      <c r="BD31" s="16"/>
      <c r="BE31" s="4">
        <f t="shared" si="0"/>
        <v>1400536965</v>
      </c>
      <c r="BF31" s="4">
        <f t="shared" si="1"/>
        <v>0</v>
      </c>
      <c r="BG31" s="17"/>
      <c r="BH31" s="37"/>
      <c r="BI31" s="17"/>
    </row>
    <row r="32" spans="1:73" ht="15" customHeight="1" x14ac:dyDescent="0.25">
      <c r="A32" s="13"/>
      <c r="B32" s="23" t="s">
        <v>143</v>
      </c>
      <c r="C32" s="14" t="s">
        <v>144</v>
      </c>
      <c r="D32" s="10">
        <v>1600758401</v>
      </c>
      <c r="E32" s="13"/>
      <c r="F32" s="15">
        <v>33003</v>
      </c>
      <c r="G32" s="13">
        <f>2026-1990</f>
        <v>36</v>
      </c>
      <c r="H32" s="2" t="s">
        <v>401</v>
      </c>
      <c r="I32" s="2" t="s">
        <v>45</v>
      </c>
      <c r="J32" s="2" t="s">
        <v>46</v>
      </c>
      <c r="K32" s="2" t="s">
        <v>47</v>
      </c>
      <c r="L32" s="2" t="s">
        <v>47</v>
      </c>
      <c r="M32" t="s">
        <v>540</v>
      </c>
      <c r="N32" s="2" t="s">
        <v>48</v>
      </c>
      <c r="O32" s="2" t="s">
        <v>48</v>
      </c>
      <c r="U32" s="52"/>
      <c r="Z32" s="52"/>
      <c r="AA32" s="2" t="s">
        <v>508</v>
      </c>
      <c r="AB32" s="2" t="s">
        <v>510</v>
      </c>
      <c r="AC32" s="2" t="s">
        <v>509</v>
      </c>
      <c r="AD32" s="4">
        <v>40</v>
      </c>
      <c r="AI32" s="25" t="s">
        <v>145</v>
      </c>
      <c r="AJ32" s="14" t="s">
        <v>50</v>
      </c>
      <c r="AK32" s="14" t="s">
        <v>409</v>
      </c>
      <c r="AL32" s="53" t="s">
        <v>79</v>
      </c>
      <c r="AM32" s="14"/>
      <c r="AN32" s="14"/>
      <c r="AO32" s="14"/>
      <c r="AP32" s="53"/>
      <c r="AQ32" s="14"/>
      <c r="AR32" s="14"/>
      <c r="AS32" s="14"/>
      <c r="AT32" s="53"/>
      <c r="AU32" s="7">
        <v>48.4</v>
      </c>
      <c r="AZ32" s="2" t="s">
        <v>52</v>
      </c>
      <c r="BA32" s="2" t="s">
        <v>53</v>
      </c>
      <c r="BB32" s="2" t="s">
        <v>400</v>
      </c>
      <c r="BC32" s="2" t="s">
        <v>399</v>
      </c>
      <c r="BD32" s="16"/>
      <c r="BE32" s="4">
        <f t="shared" si="0"/>
        <v>1600758401</v>
      </c>
      <c r="BF32" s="4">
        <f t="shared" si="1"/>
        <v>0</v>
      </c>
      <c r="BG32" s="17"/>
      <c r="BH32" s="37"/>
      <c r="BI32" s="17"/>
    </row>
    <row r="33" spans="1:61" ht="15" customHeight="1" x14ac:dyDescent="0.25">
      <c r="A33" s="13"/>
      <c r="B33" s="23" t="s">
        <v>146</v>
      </c>
      <c r="C33" s="14" t="s">
        <v>147</v>
      </c>
      <c r="D33" s="10">
        <v>1401474661</v>
      </c>
      <c r="E33" s="13"/>
      <c r="F33" s="15">
        <v>37508</v>
      </c>
      <c r="G33" s="13">
        <f>2026-2002</f>
        <v>24</v>
      </c>
      <c r="H33" s="2" t="s">
        <v>401</v>
      </c>
      <c r="I33" s="2" t="s">
        <v>45</v>
      </c>
      <c r="J33" s="2" t="s">
        <v>46</v>
      </c>
      <c r="K33" s="2" t="s">
        <v>47</v>
      </c>
      <c r="L33" s="2" t="s">
        <v>47</v>
      </c>
      <c r="M33" t="s">
        <v>541</v>
      </c>
      <c r="N33" s="2" t="s">
        <v>48</v>
      </c>
      <c r="O33" s="2" t="s">
        <v>48</v>
      </c>
      <c r="U33" s="52"/>
      <c r="Z33" s="52"/>
      <c r="AA33" s="2" t="s">
        <v>508</v>
      </c>
      <c r="AB33" s="2" t="s">
        <v>510</v>
      </c>
      <c r="AC33" s="2" t="s">
        <v>509</v>
      </c>
      <c r="AD33" s="4">
        <v>40</v>
      </c>
      <c r="AI33" s="25" t="s">
        <v>450</v>
      </c>
      <c r="AJ33" s="14" t="s">
        <v>50</v>
      </c>
      <c r="AK33" s="14" t="s">
        <v>422</v>
      </c>
      <c r="AL33" s="53" t="s">
        <v>79</v>
      </c>
      <c r="AM33" s="14"/>
      <c r="AN33" s="14"/>
      <c r="AO33" s="14"/>
      <c r="AP33" s="53"/>
      <c r="AQ33" s="14"/>
      <c r="AR33" s="14"/>
      <c r="AS33" s="14"/>
      <c r="AT33" s="53"/>
      <c r="AU33" s="7">
        <v>48.4</v>
      </c>
      <c r="AZ33" s="2" t="s">
        <v>52</v>
      </c>
      <c r="BA33" s="2" t="s">
        <v>53</v>
      </c>
      <c r="BB33" s="2" t="s">
        <v>400</v>
      </c>
      <c r="BC33" s="2" t="s">
        <v>399</v>
      </c>
      <c r="BD33" s="16"/>
      <c r="BE33" s="4">
        <f t="shared" si="0"/>
        <v>1401474661</v>
      </c>
      <c r="BF33" s="4">
        <f t="shared" si="1"/>
        <v>0</v>
      </c>
      <c r="BG33" s="17"/>
      <c r="BH33" s="37"/>
      <c r="BI33" s="17"/>
    </row>
    <row r="34" spans="1:61" ht="15" customHeight="1" x14ac:dyDescent="0.25">
      <c r="A34" s="13"/>
      <c r="B34" s="23" t="s">
        <v>148</v>
      </c>
      <c r="C34" s="14" t="s">
        <v>149</v>
      </c>
      <c r="D34" s="10" t="s">
        <v>150</v>
      </c>
      <c r="E34" s="13"/>
      <c r="F34" s="15">
        <v>38653</v>
      </c>
      <c r="G34" s="13">
        <f>2026-2005</f>
        <v>21</v>
      </c>
      <c r="H34" s="2" t="s">
        <v>401</v>
      </c>
      <c r="I34" s="2" t="s">
        <v>45</v>
      </c>
      <c r="J34" s="2" t="s">
        <v>46</v>
      </c>
      <c r="K34" s="2" t="s">
        <v>47</v>
      </c>
      <c r="L34" s="2" t="s">
        <v>47</v>
      </c>
      <c r="M34" t="s">
        <v>542</v>
      </c>
      <c r="N34" s="2" t="s">
        <v>48</v>
      </c>
      <c r="O34" s="2" t="s">
        <v>48</v>
      </c>
      <c r="U34" s="52"/>
      <c r="Z34" s="52"/>
      <c r="AA34" s="2" t="s">
        <v>508</v>
      </c>
      <c r="AB34" s="2" t="s">
        <v>510</v>
      </c>
      <c r="AC34" s="2" t="s">
        <v>509</v>
      </c>
      <c r="AD34" s="4">
        <v>40</v>
      </c>
      <c r="AI34" s="25" t="s">
        <v>451</v>
      </c>
      <c r="AJ34" s="14" t="s">
        <v>50</v>
      </c>
      <c r="AK34" s="14" t="s">
        <v>47</v>
      </c>
      <c r="AL34" s="53" t="s">
        <v>79</v>
      </c>
      <c r="AM34" s="14"/>
      <c r="AN34" s="14"/>
      <c r="AO34" s="14"/>
      <c r="AP34" s="53"/>
      <c r="AQ34" s="14"/>
      <c r="AR34" s="14"/>
      <c r="AS34" s="14"/>
      <c r="AT34" s="53"/>
      <c r="AU34" s="7">
        <v>48.4</v>
      </c>
      <c r="AZ34" s="2" t="s">
        <v>52</v>
      </c>
      <c r="BA34" s="2" t="s">
        <v>53</v>
      </c>
      <c r="BB34" s="2" t="s">
        <v>400</v>
      </c>
      <c r="BC34" s="2" t="s">
        <v>399</v>
      </c>
      <c r="BD34" s="16"/>
      <c r="BE34" s="4" t="str">
        <f t="shared" ref="BE34:BF63" si="2">D34</f>
        <v>1400981419</v>
      </c>
      <c r="BF34" s="4">
        <f t="shared" si="2"/>
        <v>0</v>
      </c>
      <c r="BG34" s="17"/>
      <c r="BH34" s="37"/>
      <c r="BI34" s="17"/>
    </row>
    <row r="35" spans="1:61" ht="15" customHeight="1" x14ac:dyDescent="0.25">
      <c r="A35" s="18" t="s">
        <v>62</v>
      </c>
      <c r="B35" s="23" t="s">
        <v>151</v>
      </c>
      <c r="C35" s="14" t="s">
        <v>152</v>
      </c>
      <c r="D35" s="10">
        <v>1401002207</v>
      </c>
      <c r="E35" s="13"/>
      <c r="F35" s="15">
        <v>33906</v>
      </c>
      <c r="G35" s="13">
        <f>2026-1992</f>
        <v>34</v>
      </c>
      <c r="H35" s="2" t="s">
        <v>401</v>
      </c>
      <c r="I35" s="2" t="s">
        <v>45</v>
      </c>
      <c r="J35" s="2" t="s">
        <v>46</v>
      </c>
      <c r="K35" s="2" t="s">
        <v>47</v>
      </c>
      <c r="L35" s="2" t="s">
        <v>47</v>
      </c>
      <c r="M35" t="s">
        <v>543</v>
      </c>
      <c r="N35" s="2" t="s">
        <v>48</v>
      </c>
      <c r="O35" s="2" t="s">
        <v>48</v>
      </c>
      <c r="U35" s="52"/>
      <c r="Z35" s="52"/>
      <c r="AA35" s="2" t="s">
        <v>508</v>
      </c>
      <c r="AB35" s="2" t="s">
        <v>510</v>
      </c>
      <c r="AC35" s="2" t="s">
        <v>509</v>
      </c>
      <c r="AD35" s="4">
        <v>40</v>
      </c>
      <c r="AI35" s="25" t="s">
        <v>111</v>
      </c>
      <c r="AJ35" s="14" t="s">
        <v>50</v>
      </c>
      <c r="AK35" s="14" t="s">
        <v>406</v>
      </c>
      <c r="AL35" s="53" t="s">
        <v>51</v>
      </c>
      <c r="AM35" s="14"/>
      <c r="AN35" s="14"/>
      <c r="AO35" s="14"/>
      <c r="AP35" s="53"/>
      <c r="AQ35" s="14"/>
      <c r="AR35" s="14"/>
      <c r="AS35" s="14"/>
      <c r="AT35" s="53"/>
      <c r="AU35" s="7">
        <v>48.4</v>
      </c>
      <c r="AZ35" s="2" t="s">
        <v>52</v>
      </c>
      <c r="BA35" s="2" t="s">
        <v>53</v>
      </c>
      <c r="BB35" s="2" t="s">
        <v>400</v>
      </c>
      <c r="BC35" s="2" t="s">
        <v>399</v>
      </c>
      <c r="BD35" s="16"/>
      <c r="BE35" s="4">
        <f t="shared" si="2"/>
        <v>1401002207</v>
      </c>
      <c r="BF35" s="4">
        <f t="shared" si="2"/>
        <v>0</v>
      </c>
      <c r="BG35" s="17"/>
      <c r="BH35" s="37"/>
      <c r="BI35" s="17"/>
    </row>
    <row r="36" spans="1:61" ht="15" customHeight="1" x14ac:dyDescent="0.25">
      <c r="A36" s="13"/>
      <c r="B36" s="23" t="s">
        <v>153</v>
      </c>
      <c r="C36" s="14" t="s">
        <v>154</v>
      </c>
      <c r="D36" s="10">
        <v>1400730188</v>
      </c>
      <c r="E36" s="13"/>
      <c r="F36" s="15">
        <v>31925</v>
      </c>
      <c r="G36" s="13">
        <f>2026-1987</f>
        <v>39</v>
      </c>
      <c r="H36" s="2" t="s">
        <v>401</v>
      </c>
      <c r="I36" s="2" t="s">
        <v>45</v>
      </c>
      <c r="J36" s="2" t="s">
        <v>46</v>
      </c>
      <c r="K36" s="2" t="s">
        <v>47</v>
      </c>
      <c r="L36" s="2" t="s">
        <v>47</v>
      </c>
      <c r="M36" t="s">
        <v>544</v>
      </c>
      <c r="N36" s="2" t="s">
        <v>48</v>
      </c>
      <c r="O36" s="2" t="s">
        <v>48</v>
      </c>
      <c r="U36" s="52"/>
      <c r="Z36" s="52"/>
      <c r="AA36" s="2" t="s">
        <v>508</v>
      </c>
      <c r="AB36" s="2" t="s">
        <v>510</v>
      </c>
      <c r="AC36" s="2" t="s">
        <v>509</v>
      </c>
      <c r="AD36" s="4">
        <v>40</v>
      </c>
      <c r="AI36" s="25" t="s">
        <v>126</v>
      </c>
      <c r="AJ36" s="14" t="s">
        <v>50</v>
      </c>
      <c r="AK36" s="14" t="s">
        <v>410</v>
      </c>
      <c r="AL36" s="53" t="s">
        <v>127</v>
      </c>
      <c r="AM36" s="14"/>
      <c r="AN36" s="14"/>
      <c r="AO36" s="14"/>
      <c r="AP36" s="53"/>
      <c r="AQ36" s="14"/>
      <c r="AR36" s="14"/>
      <c r="AS36" s="14"/>
      <c r="AT36" s="53"/>
      <c r="AU36" s="7">
        <v>48.4</v>
      </c>
      <c r="AZ36" s="2" t="s">
        <v>52</v>
      </c>
      <c r="BA36" s="2" t="s">
        <v>53</v>
      </c>
      <c r="BB36" s="2" t="s">
        <v>400</v>
      </c>
      <c r="BC36" s="2" t="s">
        <v>399</v>
      </c>
      <c r="BD36" s="16"/>
      <c r="BE36" s="4">
        <f t="shared" si="2"/>
        <v>1400730188</v>
      </c>
      <c r="BF36" s="4">
        <f t="shared" si="2"/>
        <v>0</v>
      </c>
      <c r="BG36" s="17"/>
      <c r="BH36" s="37"/>
      <c r="BI36" s="17"/>
    </row>
    <row r="37" spans="1:61" ht="15" customHeight="1" x14ac:dyDescent="0.25">
      <c r="A37" s="13" t="s">
        <v>58</v>
      </c>
      <c r="B37" s="23" t="s">
        <v>155</v>
      </c>
      <c r="C37" s="14" t="s">
        <v>156</v>
      </c>
      <c r="D37" s="10">
        <v>1723622567</v>
      </c>
      <c r="E37" s="13"/>
      <c r="F37" s="15">
        <v>31951</v>
      </c>
      <c r="G37" s="13">
        <f>2026-1987</f>
        <v>39</v>
      </c>
      <c r="H37" s="2" t="s">
        <v>401</v>
      </c>
      <c r="I37" s="2" t="s">
        <v>45</v>
      </c>
      <c r="J37" s="2" t="s">
        <v>46</v>
      </c>
      <c r="K37" s="2" t="s">
        <v>47</v>
      </c>
      <c r="L37" s="2" t="s">
        <v>47</v>
      </c>
      <c r="M37" t="s">
        <v>545</v>
      </c>
      <c r="N37" s="2" t="s">
        <v>48</v>
      </c>
      <c r="O37" s="2" t="s">
        <v>48</v>
      </c>
      <c r="U37" s="52"/>
      <c r="Z37" s="52"/>
      <c r="AA37" s="2" t="s">
        <v>508</v>
      </c>
      <c r="AB37" s="2" t="s">
        <v>510</v>
      </c>
      <c r="AC37" s="2" t="s">
        <v>509</v>
      </c>
      <c r="AD37" s="4">
        <v>40</v>
      </c>
      <c r="AE37" s="2" t="s">
        <v>630</v>
      </c>
      <c r="AF37" s="2" t="s">
        <v>50</v>
      </c>
      <c r="AG37" s="2" t="s">
        <v>631</v>
      </c>
      <c r="AI37" s="25"/>
      <c r="AJ37" s="14"/>
      <c r="AK37" s="14"/>
      <c r="AL37" s="53"/>
      <c r="AM37" s="14"/>
      <c r="AN37" s="14"/>
      <c r="AO37" s="14"/>
      <c r="AP37" s="53"/>
      <c r="AQ37" s="14"/>
      <c r="AR37" s="14"/>
      <c r="AS37" s="14"/>
      <c r="AT37" s="53"/>
      <c r="AU37" s="7">
        <v>48.4</v>
      </c>
      <c r="AZ37" s="2" t="s">
        <v>52</v>
      </c>
      <c r="BA37" s="2" t="s">
        <v>53</v>
      </c>
      <c r="BB37" s="2" t="s">
        <v>400</v>
      </c>
      <c r="BC37" s="2" t="s">
        <v>399</v>
      </c>
      <c r="BD37" s="16"/>
      <c r="BE37" s="4">
        <f t="shared" si="2"/>
        <v>1723622567</v>
      </c>
      <c r="BF37" s="4">
        <f t="shared" si="2"/>
        <v>0</v>
      </c>
      <c r="BG37" s="17"/>
      <c r="BH37" s="37"/>
      <c r="BI37" s="17"/>
    </row>
    <row r="38" spans="1:61" ht="15" customHeight="1" x14ac:dyDescent="0.25">
      <c r="A38" s="13" t="s">
        <v>58</v>
      </c>
      <c r="B38" s="23" t="s">
        <v>157</v>
      </c>
      <c r="C38" s="14" t="s">
        <v>158</v>
      </c>
      <c r="D38" s="10">
        <v>1400348478</v>
      </c>
      <c r="E38" s="13"/>
      <c r="F38" s="15">
        <v>26478</v>
      </c>
      <c r="G38" s="13">
        <f>2026-1972</f>
        <v>54</v>
      </c>
      <c r="H38" s="2" t="s">
        <v>401</v>
      </c>
      <c r="I38" s="2" t="s">
        <v>45</v>
      </c>
      <c r="J38" s="2" t="s">
        <v>46</v>
      </c>
      <c r="K38" s="2" t="s">
        <v>47</v>
      </c>
      <c r="L38" s="2" t="s">
        <v>47</v>
      </c>
      <c r="M38" t="s">
        <v>546</v>
      </c>
      <c r="N38" s="2" t="s">
        <v>48</v>
      </c>
      <c r="O38" s="2" t="s">
        <v>48</v>
      </c>
      <c r="U38" s="52"/>
      <c r="Z38" s="52"/>
      <c r="AA38" s="2" t="s">
        <v>508</v>
      </c>
      <c r="AB38" s="2" t="s">
        <v>510</v>
      </c>
      <c r="AC38" s="2" t="s">
        <v>509</v>
      </c>
      <c r="AD38" s="4">
        <v>40</v>
      </c>
      <c r="AE38" s="2" t="s">
        <v>630</v>
      </c>
      <c r="AF38" s="2" t="s">
        <v>50</v>
      </c>
      <c r="AG38" s="2" t="s">
        <v>631</v>
      </c>
      <c r="AI38" s="25"/>
      <c r="AJ38" s="14"/>
      <c r="AK38" s="14"/>
      <c r="AL38" s="53"/>
      <c r="AM38" s="14"/>
      <c r="AN38" s="14"/>
      <c r="AO38" s="14"/>
      <c r="AP38" s="53"/>
      <c r="AQ38" s="14"/>
      <c r="AR38" s="14"/>
      <c r="AS38" s="14"/>
      <c r="AT38" s="53"/>
      <c r="AU38" s="7">
        <v>48.4</v>
      </c>
      <c r="AZ38" s="2" t="s">
        <v>52</v>
      </c>
      <c r="BA38" s="2" t="s">
        <v>53</v>
      </c>
      <c r="BB38" s="2" t="s">
        <v>400</v>
      </c>
      <c r="BC38" s="2" t="s">
        <v>399</v>
      </c>
      <c r="BD38" s="16"/>
      <c r="BE38" s="4">
        <f t="shared" si="2"/>
        <v>1400348478</v>
      </c>
      <c r="BF38" s="4">
        <f t="shared" si="2"/>
        <v>0</v>
      </c>
      <c r="BG38" s="17"/>
      <c r="BH38" s="37"/>
      <c r="BI38" s="17"/>
    </row>
    <row r="39" spans="1:61" ht="15" customHeight="1" x14ac:dyDescent="0.25">
      <c r="A39" s="13" t="s">
        <v>58</v>
      </c>
      <c r="B39" s="23" t="s">
        <v>159</v>
      </c>
      <c r="C39" s="14" t="s">
        <v>160</v>
      </c>
      <c r="D39" s="10">
        <v>1400208938</v>
      </c>
      <c r="E39" s="13"/>
      <c r="F39" s="15">
        <v>23458</v>
      </c>
      <c r="G39" s="13">
        <f>2026-1964</f>
        <v>62</v>
      </c>
      <c r="H39" s="2" t="s">
        <v>401</v>
      </c>
      <c r="I39" s="2" t="s">
        <v>45</v>
      </c>
      <c r="J39" s="2" t="s">
        <v>46</v>
      </c>
      <c r="K39" s="2" t="s">
        <v>47</v>
      </c>
      <c r="L39" s="2" t="s">
        <v>47</v>
      </c>
      <c r="M39" t="s">
        <v>547</v>
      </c>
      <c r="N39" s="2" t="s">
        <v>48</v>
      </c>
      <c r="O39" s="2" t="s">
        <v>48</v>
      </c>
      <c r="U39" s="52"/>
      <c r="Z39" s="52"/>
      <c r="AA39" s="2" t="s">
        <v>508</v>
      </c>
      <c r="AB39" s="2" t="s">
        <v>510</v>
      </c>
      <c r="AC39" s="2" t="s">
        <v>509</v>
      </c>
      <c r="AD39" s="4">
        <v>40</v>
      </c>
      <c r="AE39" s="2" t="s">
        <v>630</v>
      </c>
      <c r="AF39" s="2" t="s">
        <v>50</v>
      </c>
      <c r="AG39" s="2" t="s">
        <v>631</v>
      </c>
      <c r="AI39" s="25"/>
      <c r="AJ39" s="14"/>
      <c r="AK39" s="14"/>
      <c r="AL39" s="53"/>
      <c r="AM39" s="14"/>
      <c r="AN39" s="14"/>
      <c r="AO39" s="14"/>
      <c r="AP39" s="53"/>
      <c r="AQ39" s="14"/>
      <c r="AR39" s="14"/>
      <c r="AS39" s="14"/>
      <c r="AT39" s="53"/>
      <c r="AU39" s="7">
        <v>48.4</v>
      </c>
      <c r="AZ39" s="2" t="s">
        <v>52</v>
      </c>
      <c r="BA39" s="2" t="s">
        <v>53</v>
      </c>
      <c r="BB39" s="2" t="s">
        <v>400</v>
      </c>
      <c r="BC39" s="2" t="s">
        <v>399</v>
      </c>
      <c r="BD39" s="16"/>
      <c r="BE39" s="4">
        <f t="shared" si="2"/>
        <v>1400208938</v>
      </c>
      <c r="BF39" s="4">
        <f t="shared" si="2"/>
        <v>0</v>
      </c>
      <c r="BG39" s="17"/>
      <c r="BH39" s="37"/>
      <c r="BI39" s="17"/>
    </row>
    <row r="40" spans="1:61" ht="15" customHeight="1" x14ac:dyDescent="0.25">
      <c r="A40" s="13"/>
      <c r="B40" s="23" t="s">
        <v>161</v>
      </c>
      <c r="C40" s="14" t="s">
        <v>162</v>
      </c>
      <c r="D40" s="10">
        <v>1400520100</v>
      </c>
      <c r="E40" s="13"/>
      <c r="F40" s="15">
        <v>30166</v>
      </c>
      <c r="G40" s="13">
        <f>2026-1982</f>
        <v>44</v>
      </c>
      <c r="H40" s="2" t="s">
        <v>401</v>
      </c>
      <c r="I40" s="2" t="s">
        <v>45</v>
      </c>
      <c r="J40" s="2" t="s">
        <v>46</v>
      </c>
      <c r="K40" s="2" t="s">
        <v>47</v>
      </c>
      <c r="L40" s="2" t="s">
        <v>47</v>
      </c>
      <c r="M40" t="s">
        <v>548</v>
      </c>
      <c r="N40" s="2" t="s">
        <v>48</v>
      </c>
      <c r="O40" s="2" t="s">
        <v>48</v>
      </c>
      <c r="U40" s="52"/>
      <c r="Z40" s="52"/>
      <c r="AA40" s="2" t="s">
        <v>508</v>
      </c>
      <c r="AB40" s="2" t="s">
        <v>510</v>
      </c>
      <c r="AC40" s="2" t="s">
        <v>509</v>
      </c>
      <c r="AD40" s="4">
        <v>40</v>
      </c>
      <c r="AI40" s="25" t="s">
        <v>82</v>
      </c>
      <c r="AJ40" s="2" t="s">
        <v>50</v>
      </c>
      <c r="AK40" s="14" t="s">
        <v>47</v>
      </c>
      <c r="AL40" s="53" t="s">
        <v>79</v>
      </c>
      <c r="AM40" s="14"/>
      <c r="AN40" s="14"/>
      <c r="AO40" s="14"/>
      <c r="AP40" s="53"/>
      <c r="AQ40" s="14"/>
      <c r="AR40" s="14"/>
      <c r="AS40" s="14"/>
      <c r="AT40" s="53"/>
      <c r="AU40" s="7">
        <v>48.4</v>
      </c>
      <c r="AZ40" s="2" t="s">
        <v>52</v>
      </c>
      <c r="BA40" s="2" t="s">
        <v>53</v>
      </c>
      <c r="BB40" s="2" t="s">
        <v>400</v>
      </c>
      <c r="BC40" s="2" t="s">
        <v>399</v>
      </c>
      <c r="BD40" s="16"/>
      <c r="BE40" s="4">
        <f t="shared" si="2"/>
        <v>1400520100</v>
      </c>
      <c r="BF40" s="4">
        <f t="shared" si="2"/>
        <v>0</v>
      </c>
      <c r="BG40" s="17"/>
      <c r="BH40" s="37"/>
      <c r="BI40" s="17"/>
    </row>
    <row r="41" spans="1:61" ht="15" customHeight="1" x14ac:dyDescent="0.25">
      <c r="A41" s="13" t="s">
        <v>163</v>
      </c>
      <c r="B41" s="23" t="s">
        <v>164</v>
      </c>
      <c r="C41" s="14" t="s">
        <v>165</v>
      </c>
      <c r="D41" s="10" t="s">
        <v>166</v>
      </c>
      <c r="E41" s="13"/>
      <c r="F41" s="15">
        <v>27834</v>
      </c>
      <c r="G41" s="13">
        <f>2026-1976</f>
        <v>50</v>
      </c>
      <c r="H41" s="2" t="s">
        <v>401</v>
      </c>
      <c r="I41" s="2" t="s">
        <v>45</v>
      </c>
      <c r="J41" s="2" t="s">
        <v>46</v>
      </c>
      <c r="K41" s="2" t="s">
        <v>47</v>
      </c>
      <c r="L41" s="2" t="s">
        <v>47</v>
      </c>
      <c r="M41" t="s">
        <v>549</v>
      </c>
      <c r="N41" s="2" t="s">
        <v>48</v>
      </c>
      <c r="O41" s="2" t="s">
        <v>48</v>
      </c>
      <c r="U41" s="52"/>
      <c r="Z41" s="52"/>
      <c r="AA41" s="2" t="s">
        <v>508</v>
      </c>
      <c r="AB41" s="2" t="s">
        <v>510</v>
      </c>
      <c r="AC41" s="2" t="s">
        <v>509</v>
      </c>
      <c r="AD41" s="4">
        <v>40</v>
      </c>
      <c r="AE41" s="2" t="s">
        <v>630</v>
      </c>
      <c r="AF41" s="2" t="s">
        <v>50</v>
      </c>
      <c r="AG41" s="2" t="s">
        <v>631</v>
      </c>
      <c r="AI41" s="25"/>
      <c r="AJ41" s="14"/>
      <c r="AK41" s="14"/>
      <c r="AL41" s="53"/>
      <c r="AM41" s="14"/>
      <c r="AN41" s="14"/>
      <c r="AO41" s="14"/>
      <c r="AP41" s="53"/>
      <c r="AQ41" s="14"/>
      <c r="AR41" s="14"/>
      <c r="AS41" s="14"/>
      <c r="AT41" s="53"/>
      <c r="AU41" s="7">
        <v>48.4</v>
      </c>
      <c r="AZ41" s="2" t="s">
        <v>52</v>
      </c>
      <c r="BA41" s="2" t="s">
        <v>53</v>
      </c>
      <c r="BB41" s="2" t="s">
        <v>400</v>
      </c>
      <c r="BC41" s="2" t="s">
        <v>399</v>
      </c>
      <c r="BD41" s="16"/>
      <c r="BE41" s="4" t="str">
        <f t="shared" si="2"/>
        <v>0801864794</v>
      </c>
      <c r="BF41" s="4">
        <f t="shared" si="2"/>
        <v>0</v>
      </c>
      <c r="BG41" s="17"/>
      <c r="BH41" s="37"/>
      <c r="BI41" s="17"/>
    </row>
    <row r="42" spans="1:61" ht="15" customHeight="1" x14ac:dyDescent="0.25">
      <c r="A42" s="13"/>
      <c r="B42" s="23" t="s">
        <v>167</v>
      </c>
      <c r="C42" s="14" t="s">
        <v>168</v>
      </c>
      <c r="D42" s="10">
        <v>1600350357</v>
      </c>
      <c r="E42" s="13"/>
      <c r="F42" s="15">
        <v>30324</v>
      </c>
      <c r="G42" s="13">
        <f>2026-1983</f>
        <v>43</v>
      </c>
      <c r="H42" s="2" t="s">
        <v>401</v>
      </c>
      <c r="I42" s="2" t="s">
        <v>45</v>
      </c>
      <c r="J42" s="2" t="s">
        <v>46</v>
      </c>
      <c r="K42" s="2" t="s">
        <v>47</v>
      </c>
      <c r="L42" s="2" t="s">
        <v>47</v>
      </c>
      <c r="M42" t="s">
        <v>550</v>
      </c>
      <c r="N42" s="2" t="s">
        <v>48</v>
      </c>
      <c r="O42" s="2" t="s">
        <v>48</v>
      </c>
      <c r="U42" s="52"/>
      <c r="Z42" s="52"/>
      <c r="AA42" s="2" t="s">
        <v>508</v>
      </c>
      <c r="AB42" s="2" t="s">
        <v>510</v>
      </c>
      <c r="AC42" s="2" t="s">
        <v>509</v>
      </c>
      <c r="AD42" s="4">
        <v>40</v>
      </c>
      <c r="AI42" s="25" t="s">
        <v>169</v>
      </c>
      <c r="AJ42" s="2" t="s">
        <v>50</v>
      </c>
      <c r="AK42" s="14" t="s">
        <v>411</v>
      </c>
      <c r="AL42" s="53" t="s">
        <v>79</v>
      </c>
      <c r="AM42" s="14"/>
      <c r="AN42" s="14"/>
      <c r="AO42" s="14"/>
      <c r="AP42" s="53"/>
      <c r="AQ42" s="14"/>
      <c r="AR42" s="14"/>
      <c r="AS42" s="14"/>
      <c r="AT42" s="53"/>
      <c r="AU42" s="7">
        <v>48.4</v>
      </c>
      <c r="AZ42" s="2" t="s">
        <v>52</v>
      </c>
      <c r="BA42" s="2" t="s">
        <v>53</v>
      </c>
      <c r="BB42" s="2" t="s">
        <v>400</v>
      </c>
      <c r="BC42" s="2" t="s">
        <v>399</v>
      </c>
      <c r="BD42" s="16"/>
      <c r="BE42" s="4">
        <f t="shared" si="2"/>
        <v>1600350357</v>
      </c>
      <c r="BF42" s="4">
        <f t="shared" si="2"/>
        <v>0</v>
      </c>
      <c r="BG42" s="17"/>
      <c r="BH42" s="37"/>
      <c r="BI42" s="17"/>
    </row>
    <row r="43" spans="1:61" ht="15" customHeight="1" x14ac:dyDescent="0.25">
      <c r="A43" s="13" t="s">
        <v>62</v>
      </c>
      <c r="B43" s="23" t="s">
        <v>170</v>
      </c>
      <c r="C43" s="65" t="s">
        <v>171</v>
      </c>
      <c r="D43" s="10">
        <v>1400772891</v>
      </c>
      <c r="E43" s="13"/>
      <c r="F43" s="15">
        <v>31574</v>
      </c>
      <c r="G43" s="13">
        <f>2026-1986</f>
        <v>40</v>
      </c>
      <c r="H43" s="2" t="s">
        <v>401</v>
      </c>
      <c r="I43" s="2" t="s">
        <v>45</v>
      </c>
      <c r="J43" s="2" t="s">
        <v>46</v>
      </c>
      <c r="K43" s="2" t="s">
        <v>47</v>
      </c>
      <c r="L43" s="2" t="s">
        <v>47</v>
      </c>
      <c r="M43" t="s">
        <v>551</v>
      </c>
      <c r="N43" s="2" t="s">
        <v>48</v>
      </c>
      <c r="O43" s="2" t="s">
        <v>48</v>
      </c>
      <c r="U43" s="52"/>
      <c r="Z43" s="52"/>
      <c r="AA43" s="2" t="s">
        <v>508</v>
      </c>
      <c r="AB43" s="2" t="s">
        <v>510</v>
      </c>
      <c r="AC43" s="2" t="s">
        <v>509</v>
      </c>
      <c r="AD43" s="4">
        <v>40</v>
      </c>
      <c r="AE43" s="2" t="s">
        <v>630</v>
      </c>
      <c r="AF43" s="2" t="s">
        <v>50</v>
      </c>
      <c r="AG43" s="2" t="s">
        <v>631</v>
      </c>
      <c r="AI43" s="25"/>
      <c r="AJ43" s="14"/>
      <c r="AK43" s="14"/>
      <c r="AL43" s="53"/>
      <c r="AM43" s="14"/>
      <c r="AN43" s="14"/>
      <c r="AO43" s="14"/>
      <c r="AP43" s="53"/>
      <c r="AQ43" s="14"/>
      <c r="AR43" s="14"/>
      <c r="AS43" s="14"/>
      <c r="AT43" s="53"/>
      <c r="AU43" s="7">
        <v>48.4</v>
      </c>
      <c r="AZ43" s="2" t="s">
        <v>52</v>
      </c>
      <c r="BA43" s="2" t="s">
        <v>53</v>
      </c>
      <c r="BB43" s="2" t="s">
        <v>400</v>
      </c>
      <c r="BC43" s="2" t="s">
        <v>399</v>
      </c>
      <c r="BD43" s="16"/>
      <c r="BE43" s="4">
        <f t="shared" si="2"/>
        <v>1400772891</v>
      </c>
      <c r="BF43" s="4">
        <f t="shared" si="2"/>
        <v>0</v>
      </c>
      <c r="BG43" s="17"/>
      <c r="BH43" s="37"/>
      <c r="BI43" s="17"/>
    </row>
    <row r="44" spans="1:61" ht="15" customHeight="1" x14ac:dyDescent="0.25">
      <c r="A44" s="13"/>
      <c r="B44" s="23" t="s">
        <v>172</v>
      </c>
      <c r="C44" s="65" t="s">
        <v>173</v>
      </c>
      <c r="D44" s="10">
        <v>1400444459</v>
      </c>
      <c r="E44" s="13"/>
      <c r="F44" s="15">
        <v>28997</v>
      </c>
      <c r="G44" s="13">
        <f>2026-1979</f>
        <v>47</v>
      </c>
      <c r="H44" s="2" t="s">
        <v>401</v>
      </c>
      <c r="I44" s="2" t="s">
        <v>45</v>
      </c>
      <c r="J44" s="2" t="s">
        <v>46</v>
      </c>
      <c r="K44" s="2" t="s">
        <v>47</v>
      </c>
      <c r="L44" s="2" t="s">
        <v>47</v>
      </c>
      <c r="M44" t="s">
        <v>552</v>
      </c>
      <c r="N44" s="2" t="s">
        <v>48</v>
      </c>
      <c r="O44" s="2" t="s">
        <v>48</v>
      </c>
      <c r="U44" s="52"/>
      <c r="Z44" s="52"/>
      <c r="AA44" s="2" t="s">
        <v>508</v>
      </c>
      <c r="AB44" s="2" t="s">
        <v>510</v>
      </c>
      <c r="AC44" s="2" t="s">
        <v>509</v>
      </c>
      <c r="AD44" s="4">
        <v>40</v>
      </c>
      <c r="AI44" s="25" t="s">
        <v>174</v>
      </c>
      <c r="AJ44" s="2" t="s">
        <v>50</v>
      </c>
      <c r="AK44" s="14" t="s">
        <v>47</v>
      </c>
      <c r="AL44" s="53" t="s">
        <v>79</v>
      </c>
      <c r="AM44" s="14"/>
      <c r="AN44" s="14"/>
      <c r="AO44" s="14"/>
      <c r="AP44" s="53"/>
      <c r="AQ44" s="14"/>
      <c r="AR44" s="14"/>
      <c r="AS44" s="14"/>
      <c r="AT44" s="53"/>
      <c r="AU44" s="7">
        <v>48.4</v>
      </c>
      <c r="AZ44" s="2" t="s">
        <v>52</v>
      </c>
      <c r="BA44" s="2" t="s">
        <v>53</v>
      </c>
      <c r="BB44" s="2" t="s">
        <v>400</v>
      </c>
      <c r="BC44" s="2" t="s">
        <v>399</v>
      </c>
      <c r="BD44" s="16"/>
      <c r="BE44" s="4">
        <f t="shared" si="2"/>
        <v>1400444459</v>
      </c>
      <c r="BF44" s="4">
        <f t="shared" si="2"/>
        <v>0</v>
      </c>
      <c r="BG44" s="17"/>
      <c r="BH44" s="37"/>
      <c r="BI44" s="17"/>
    </row>
    <row r="45" spans="1:61" ht="15" customHeight="1" x14ac:dyDescent="0.25">
      <c r="A45" s="13" t="s">
        <v>62</v>
      </c>
      <c r="B45" s="23" t="s">
        <v>175</v>
      </c>
      <c r="C45" s="65" t="s">
        <v>176</v>
      </c>
      <c r="D45" s="10">
        <v>1400815799</v>
      </c>
      <c r="E45" s="13"/>
      <c r="F45" s="15">
        <v>33637</v>
      </c>
      <c r="G45" s="13">
        <f>2026-1992</f>
        <v>34</v>
      </c>
      <c r="H45" s="2" t="s">
        <v>401</v>
      </c>
      <c r="I45" s="2" t="s">
        <v>45</v>
      </c>
      <c r="J45" s="2" t="s">
        <v>46</v>
      </c>
      <c r="K45" s="2" t="s">
        <v>47</v>
      </c>
      <c r="L45" s="2" t="s">
        <v>47</v>
      </c>
      <c r="M45" t="s">
        <v>553</v>
      </c>
      <c r="N45" s="2" t="s">
        <v>48</v>
      </c>
      <c r="O45" s="2" t="s">
        <v>48</v>
      </c>
      <c r="U45" s="52"/>
      <c r="Z45" s="52"/>
      <c r="AA45" s="2" t="s">
        <v>508</v>
      </c>
      <c r="AB45" s="2" t="s">
        <v>510</v>
      </c>
      <c r="AC45" s="2" t="s">
        <v>509</v>
      </c>
      <c r="AD45" s="4">
        <v>40</v>
      </c>
      <c r="AE45" s="2" t="s">
        <v>630</v>
      </c>
      <c r="AF45" s="2" t="s">
        <v>50</v>
      </c>
      <c r="AG45" s="2" t="s">
        <v>631</v>
      </c>
      <c r="AI45" s="25"/>
      <c r="AJ45" s="14"/>
      <c r="AK45" s="14"/>
      <c r="AL45" s="53"/>
      <c r="AM45" s="14"/>
      <c r="AN45" s="14"/>
      <c r="AO45" s="14"/>
      <c r="AP45" s="53"/>
      <c r="AQ45" s="14"/>
      <c r="AR45" s="14"/>
      <c r="AS45" s="14"/>
      <c r="AT45" s="53"/>
      <c r="AU45" s="7">
        <v>48.4</v>
      </c>
      <c r="AZ45" s="2" t="s">
        <v>52</v>
      </c>
      <c r="BA45" s="2" t="s">
        <v>53</v>
      </c>
      <c r="BB45" s="2" t="s">
        <v>400</v>
      </c>
      <c r="BC45" s="2" t="s">
        <v>399</v>
      </c>
      <c r="BD45" s="16"/>
      <c r="BE45" s="4">
        <f t="shared" si="2"/>
        <v>1400815799</v>
      </c>
      <c r="BF45" s="4">
        <f t="shared" si="2"/>
        <v>0</v>
      </c>
      <c r="BG45" s="17"/>
      <c r="BH45" s="37"/>
      <c r="BI45" s="17"/>
    </row>
    <row r="46" spans="1:61" ht="15" customHeight="1" x14ac:dyDescent="0.25">
      <c r="A46" s="18" t="s">
        <v>95</v>
      </c>
      <c r="B46" s="23" t="s">
        <v>177</v>
      </c>
      <c r="C46" s="65" t="s">
        <v>178</v>
      </c>
      <c r="D46" s="10">
        <v>1400517874</v>
      </c>
      <c r="E46" s="13"/>
      <c r="F46" s="15">
        <v>31283</v>
      </c>
      <c r="G46" s="13">
        <f>2026-1985</f>
        <v>41</v>
      </c>
      <c r="H46" s="2" t="s">
        <v>401</v>
      </c>
      <c r="I46" s="2" t="s">
        <v>45</v>
      </c>
      <c r="J46" s="2" t="s">
        <v>46</v>
      </c>
      <c r="K46" s="2" t="s">
        <v>47</v>
      </c>
      <c r="L46" s="2" t="s">
        <v>47</v>
      </c>
      <c r="M46" t="s">
        <v>554</v>
      </c>
      <c r="N46" s="2" t="s">
        <v>48</v>
      </c>
      <c r="O46" s="2" t="s">
        <v>48</v>
      </c>
      <c r="U46" s="52"/>
      <c r="Z46" s="52"/>
      <c r="AA46" s="2" t="s">
        <v>508</v>
      </c>
      <c r="AB46" s="2" t="s">
        <v>510</v>
      </c>
      <c r="AC46" s="2" t="s">
        <v>509</v>
      </c>
      <c r="AD46" s="4">
        <v>40</v>
      </c>
      <c r="AI46" s="25" t="s">
        <v>179</v>
      </c>
      <c r="AJ46" s="2" t="s">
        <v>50</v>
      </c>
      <c r="AK46" s="14" t="s">
        <v>412</v>
      </c>
      <c r="AL46" s="53" t="s">
        <v>180</v>
      </c>
      <c r="AM46" s="14" t="s">
        <v>181</v>
      </c>
      <c r="AN46" s="2" t="s">
        <v>50</v>
      </c>
      <c r="AO46" s="14" t="s">
        <v>421</v>
      </c>
      <c r="AP46" s="53" t="s">
        <v>182</v>
      </c>
      <c r="AQ46" s="14"/>
      <c r="AR46" s="14"/>
      <c r="AS46" s="14"/>
      <c r="AT46" s="53"/>
      <c r="AU46" s="7">
        <v>48.4</v>
      </c>
      <c r="AZ46" s="2" t="s">
        <v>52</v>
      </c>
      <c r="BA46" s="2" t="s">
        <v>53</v>
      </c>
      <c r="BB46" s="2" t="s">
        <v>400</v>
      </c>
      <c r="BC46" s="2" t="s">
        <v>399</v>
      </c>
      <c r="BD46" s="16"/>
      <c r="BE46" s="4">
        <f t="shared" si="2"/>
        <v>1400517874</v>
      </c>
      <c r="BF46" s="4">
        <f t="shared" si="2"/>
        <v>0</v>
      </c>
      <c r="BG46" s="17"/>
      <c r="BH46" s="37"/>
      <c r="BI46" s="17"/>
    </row>
    <row r="47" spans="1:61" ht="15" customHeight="1" x14ac:dyDescent="0.25">
      <c r="A47" s="13"/>
      <c r="B47" s="23" t="s">
        <v>183</v>
      </c>
      <c r="C47" s="65" t="s">
        <v>184</v>
      </c>
      <c r="D47" s="10">
        <v>1400197669</v>
      </c>
      <c r="E47" s="13"/>
      <c r="F47" s="15">
        <v>23972</v>
      </c>
      <c r="G47" s="13">
        <f>2026-1965</f>
        <v>61</v>
      </c>
      <c r="H47" s="2" t="s">
        <v>401</v>
      </c>
      <c r="I47" s="2" t="s">
        <v>45</v>
      </c>
      <c r="J47" s="2" t="s">
        <v>46</v>
      </c>
      <c r="K47" s="2" t="s">
        <v>47</v>
      </c>
      <c r="L47" s="2" t="s">
        <v>47</v>
      </c>
      <c r="M47" t="s">
        <v>555</v>
      </c>
      <c r="N47" s="2" t="s">
        <v>48</v>
      </c>
      <c r="O47" s="2" t="s">
        <v>48</v>
      </c>
      <c r="U47" s="52"/>
      <c r="Z47" s="52"/>
      <c r="AA47" s="2" t="s">
        <v>508</v>
      </c>
      <c r="AB47" s="2" t="s">
        <v>510</v>
      </c>
      <c r="AC47" s="2" t="s">
        <v>509</v>
      </c>
      <c r="AD47" s="4">
        <v>40</v>
      </c>
      <c r="AI47" s="25" t="s">
        <v>185</v>
      </c>
      <c r="AJ47" s="2" t="s">
        <v>50</v>
      </c>
      <c r="AK47" s="14" t="s">
        <v>413</v>
      </c>
      <c r="AL47" s="53" t="s">
        <v>127</v>
      </c>
      <c r="AM47" s="14"/>
      <c r="AN47" s="14"/>
      <c r="AO47" s="14"/>
      <c r="AP47" s="53"/>
      <c r="AQ47" s="14"/>
      <c r="AR47" s="14"/>
      <c r="AS47" s="14"/>
      <c r="AT47" s="53"/>
      <c r="AU47" s="7">
        <v>48.4</v>
      </c>
      <c r="AZ47" s="2" t="s">
        <v>52</v>
      </c>
      <c r="BA47" s="2" t="s">
        <v>53</v>
      </c>
      <c r="BB47" s="2" t="s">
        <v>400</v>
      </c>
      <c r="BC47" s="2" t="s">
        <v>399</v>
      </c>
      <c r="BD47" s="16"/>
      <c r="BE47" s="4">
        <f t="shared" si="2"/>
        <v>1400197669</v>
      </c>
      <c r="BF47" s="4">
        <f t="shared" si="2"/>
        <v>0</v>
      </c>
      <c r="BG47" s="17"/>
      <c r="BH47" s="37"/>
      <c r="BI47" s="17"/>
    </row>
    <row r="48" spans="1:61" ht="15" customHeight="1" x14ac:dyDescent="0.25">
      <c r="A48" s="13" t="s">
        <v>62</v>
      </c>
      <c r="B48" s="23" t="s">
        <v>186</v>
      </c>
      <c r="C48" s="65" t="s">
        <v>187</v>
      </c>
      <c r="D48" s="10">
        <v>1400893093</v>
      </c>
      <c r="E48" s="13"/>
      <c r="F48" s="15">
        <v>33272</v>
      </c>
      <c r="G48" s="13">
        <f>2026-1991</f>
        <v>35</v>
      </c>
      <c r="H48" s="2" t="s">
        <v>401</v>
      </c>
      <c r="I48" s="2" t="s">
        <v>45</v>
      </c>
      <c r="J48" s="2" t="s">
        <v>46</v>
      </c>
      <c r="K48" s="2" t="s">
        <v>47</v>
      </c>
      <c r="L48" s="2" t="s">
        <v>47</v>
      </c>
      <c r="M48" t="s">
        <v>556</v>
      </c>
      <c r="N48" s="2" t="s">
        <v>48</v>
      </c>
      <c r="O48" s="2" t="s">
        <v>48</v>
      </c>
      <c r="U48" s="52"/>
      <c r="Z48" s="52"/>
      <c r="AA48" s="2" t="s">
        <v>508</v>
      </c>
      <c r="AB48" s="2" t="s">
        <v>510</v>
      </c>
      <c r="AC48" s="2" t="s">
        <v>509</v>
      </c>
      <c r="AD48" s="4">
        <v>40</v>
      </c>
      <c r="AE48" s="2" t="s">
        <v>630</v>
      </c>
      <c r="AF48" s="2" t="s">
        <v>50</v>
      </c>
      <c r="AG48" s="2" t="s">
        <v>631</v>
      </c>
      <c r="AI48" s="25"/>
      <c r="AJ48" s="14"/>
      <c r="AK48" s="14"/>
      <c r="AL48" s="53"/>
      <c r="AM48" s="14"/>
      <c r="AN48" s="14"/>
      <c r="AO48" s="14"/>
      <c r="AP48" s="53"/>
      <c r="AQ48" s="14"/>
      <c r="AR48" s="14"/>
      <c r="AS48" s="14"/>
      <c r="AT48" s="53"/>
      <c r="AU48" s="7">
        <v>48.4</v>
      </c>
      <c r="AZ48" s="2" t="s">
        <v>52</v>
      </c>
      <c r="BA48" s="2" t="s">
        <v>53</v>
      </c>
      <c r="BB48" s="2" t="s">
        <v>400</v>
      </c>
      <c r="BC48" s="2" t="s">
        <v>399</v>
      </c>
      <c r="BD48" s="16"/>
      <c r="BE48" s="4">
        <f t="shared" si="2"/>
        <v>1400893093</v>
      </c>
      <c r="BF48" s="4">
        <f t="shared" si="2"/>
        <v>0</v>
      </c>
      <c r="BG48" s="17"/>
      <c r="BH48" s="37"/>
      <c r="BI48" s="17"/>
    </row>
    <row r="49" spans="1:61" ht="15" customHeight="1" x14ac:dyDescent="0.25">
      <c r="A49" s="13"/>
      <c r="B49" s="23" t="s">
        <v>188</v>
      </c>
      <c r="C49" s="65" t="s">
        <v>189</v>
      </c>
      <c r="D49" s="10">
        <v>2100836671</v>
      </c>
      <c r="E49" s="13"/>
      <c r="F49" s="15">
        <v>35482</v>
      </c>
      <c r="G49" s="13">
        <f>2026-1997</f>
        <v>29</v>
      </c>
      <c r="H49" s="2" t="s">
        <v>401</v>
      </c>
      <c r="I49" s="2" t="s">
        <v>45</v>
      </c>
      <c r="J49" s="2" t="s">
        <v>46</v>
      </c>
      <c r="K49" s="2" t="s">
        <v>47</v>
      </c>
      <c r="L49" s="2" t="s">
        <v>47</v>
      </c>
      <c r="M49" t="s">
        <v>557</v>
      </c>
      <c r="N49" s="2" t="s">
        <v>48</v>
      </c>
      <c r="O49" s="2" t="s">
        <v>48</v>
      </c>
      <c r="U49" s="52"/>
      <c r="Z49" s="52"/>
      <c r="AA49" s="2" t="s">
        <v>508</v>
      </c>
      <c r="AB49" s="2" t="s">
        <v>510</v>
      </c>
      <c r="AC49" s="2" t="s">
        <v>509</v>
      </c>
      <c r="AD49" s="4">
        <v>40</v>
      </c>
      <c r="AI49" s="25" t="s">
        <v>82</v>
      </c>
      <c r="AJ49" s="2" t="s">
        <v>50</v>
      </c>
      <c r="AK49" s="14" t="s">
        <v>47</v>
      </c>
      <c r="AL49" s="53" t="s">
        <v>190</v>
      </c>
      <c r="AM49" s="14"/>
      <c r="AN49" s="14"/>
      <c r="AO49" s="14"/>
      <c r="AP49" s="53"/>
      <c r="AQ49" s="14"/>
      <c r="AR49" s="14"/>
      <c r="AS49" s="14"/>
      <c r="AT49" s="53"/>
      <c r="AU49" s="7">
        <v>48.4</v>
      </c>
      <c r="AZ49" s="2" t="s">
        <v>52</v>
      </c>
      <c r="BA49" s="2" t="s">
        <v>53</v>
      </c>
      <c r="BB49" s="2" t="s">
        <v>400</v>
      </c>
      <c r="BC49" s="2" t="s">
        <v>399</v>
      </c>
      <c r="BD49" s="16"/>
      <c r="BE49" s="4">
        <f t="shared" si="2"/>
        <v>2100836671</v>
      </c>
      <c r="BF49" s="4">
        <f t="shared" si="2"/>
        <v>0</v>
      </c>
      <c r="BG49" s="17"/>
      <c r="BH49" s="37"/>
      <c r="BI49" s="17"/>
    </row>
    <row r="50" spans="1:61" ht="15" customHeight="1" x14ac:dyDescent="0.25">
      <c r="A50" s="13"/>
      <c r="B50" s="23" t="s">
        <v>191</v>
      </c>
      <c r="C50" s="65" t="s">
        <v>192</v>
      </c>
      <c r="D50" s="10">
        <v>1400512149</v>
      </c>
      <c r="E50" s="13"/>
      <c r="F50" s="15">
        <v>32017</v>
      </c>
      <c r="G50" s="13">
        <f>2026-1987</f>
        <v>39</v>
      </c>
      <c r="H50" s="2" t="s">
        <v>401</v>
      </c>
      <c r="I50" s="2" t="s">
        <v>45</v>
      </c>
      <c r="J50" s="2" t="s">
        <v>46</v>
      </c>
      <c r="K50" s="2" t="s">
        <v>47</v>
      </c>
      <c r="L50" s="2" t="s">
        <v>47</v>
      </c>
      <c r="M50" t="s">
        <v>558</v>
      </c>
      <c r="N50" s="2" t="s">
        <v>48</v>
      </c>
      <c r="O50" s="2" t="s">
        <v>48</v>
      </c>
      <c r="U50" s="52"/>
      <c r="Z50" s="52"/>
      <c r="AA50" s="2" t="s">
        <v>508</v>
      </c>
      <c r="AB50" s="2" t="s">
        <v>510</v>
      </c>
      <c r="AC50" s="2" t="s">
        <v>509</v>
      </c>
      <c r="AD50" s="4">
        <v>40</v>
      </c>
      <c r="AI50" s="25" t="s">
        <v>91</v>
      </c>
      <c r="AJ50" s="2" t="s">
        <v>50</v>
      </c>
      <c r="AK50" s="14" t="s">
        <v>47</v>
      </c>
      <c r="AL50" s="53" t="s">
        <v>51</v>
      </c>
      <c r="AM50" s="14"/>
      <c r="AN50" s="14"/>
      <c r="AO50" s="14"/>
      <c r="AP50" s="53"/>
      <c r="AQ50" s="14"/>
      <c r="AR50" s="14"/>
      <c r="AS50" s="14"/>
      <c r="AT50" s="53"/>
      <c r="AU50" s="7">
        <v>48.4</v>
      </c>
      <c r="AZ50" s="2" t="s">
        <v>52</v>
      </c>
      <c r="BA50" s="2" t="s">
        <v>53</v>
      </c>
      <c r="BB50" s="2" t="s">
        <v>400</v>
      </c>
      <c r="BC50" s="2" t="s">
        <v>399</v>
      </c>
      <c r="BD50" s="16"/>
      <c r="BE50" s="4">
        <f t="shared" si="2"/>
        <v>1400512149</v>
      </c>
      <c r="BF50" s="4">
        <f t="shared" si="2"/>
        <v>0</v>
      </c>
      <c r="BG50" s="17"/>
      <c r="BH50" s="37"/>
      <c r="BI50" s="17"/>
    </row>
    <row r="51" spans="1:61" ht="15" customHeight="1" x14ac:dyDescent="0.25">
      <c r="A51" s="13"/>
      <c r="B51" s="23" t="s">
        <v>193</v>
      </c>
      <c r="C51" s="65" t="s">
        <v>194</v>
      </c>
      <c r="D51" s="10">
        <v>1400958169</v>
      </c>
      <c r="E51" s="13"/>
      <c r="F51" s="15">
        <v>36153</v>
      </c>
      <c r="G51" s="13">
        <f>2026-1998</f>
        <v>28</v>
      </c>
      <c r="H51" s="2" t="s">
        <v>401</v>
      </c>
      <c r="I51" s="2" t="s">
        <v>45</v>
      </c>
      <c r="J51" s="2" t="s">
        <v>46</v>
      </c>
      <c r="K51" s="2" t="s">
        <v>47</v>
      </c>
      <c r="L51" s="2" t="s">
        <v>47</v>
      </c>
      <c r="M51" t="s">
        <v>559</v>
      </c>
      <c r="N51" s="2" t="s">
        <v>48</v>
      </c>
      <c r="O51" s="2" t="s">
        <v>48</v>
      </c>
      <c r="U51" s="52"/>
      <c r="Z51" s="52"/>
      <c r="AA51" s="2" t="s">
        <v>508</v>
      </c>
      <c r="AB51" s="2" t="s">
        <v>510</v>
      </c>
      <c r="AC51" s="2" t="s">
        <v>509</v>
      </c>
      <c r="AD51" s="4">
        <v>40</v>
      </c>
      <c r="AI51" s="25" t="s">
        <v>195</v>
      </c>
      <c r="AJ51" s="2" t="s">
        <v>50</v>
      </c>
      <c r="AK51" s="14" t="s">
        <v>47</v>
      </c>
      <c r="AL51" s="53" t="s">
        <v>79</v>
      </c>
      <c r="AM51" s="14"/>
      <c r="AN51" s="14"/>
      <c r="AO51" s="14"/>
      <c r="AP51" s="53"/>
      <c r="AQ51" s="14"/>
      <c r="AR51" s="14"/>
      <c r="AS51" s="14"/>
      <c r="AT51" s="53"/>
      <c r="AU51" s="7">
        <v>48.4</v>
      </c>
      <c r="AZ51" s="2" t="s">
        <v>52</v>
      </c>
      <c r="BA51" s="2" t="s">
        <v>53</v>
      </c>
      <c r="BB51" s="2" t="s">
        <v>400</v>
      </c>
      <c r="BC51" s="2" t="s">
        <v>399</v>
      </c>
      <c r="BD51" s="16"/>
      <c r="BE51" s="4">
        <f t="shared" si="2"/>
        <v>1400958169</v>
      </c>
      <c r="BF51" s="4">
        <f t="shared" si="2"/>
        <v>0</v>
      </c>
      <c r="BG51" s="17"/>
      <c r="BH51" s="37"/>
      <c r="BI51" s="17"/>
    </row>
    <row r="52" spans="1:61" ht="15" customHeight="1" x14ac:dyDescent="0.25">
      <c r="A52" s="13"/>
      <c r="B52" s="23" t="s">
        <v>196</v>
      </c>
      <c r="C52" s="65" t="s">
        <v>197</v>
      </c>
      <c r="D52" s="10">
        <v>1400469050</v>
      </c>
      <c r="E52" s="13"/>
      <c r="F52" s="15">
        <v>30478</v>
      </c>
      <c r="G52" s="13">
        <f>2026-1983</f>
        <v>43</v>
      </c>
      <c r="H52" s="2" t="s">
        <v>401</v>
      </c>
      <c r="I52" s="2" t="s">
        <v>45</v>
      </c>
      <c r="J52" s="2" t="s">
        <v>46</v>
      </c>
      <c r="K52" s="2" t="s">
        <v>47</v>
      </c>
      <c r="L52" s="2" t="s">
        <v>47</v>
      </c>
      <c r="M52" t="s">
        <v>560</v>
      </c>
      <c r="N52" s="2" t="s">
        <v>48</v>
      </c>
      <c r="O52" s="2" t="s">
        <v>48</v>
      </c>
      <c r="U52" s="52"/>
      <c r="Z52" s="52"/>
      <c r="AA52" s="2" t="s">
        <v>508</v>
      </c>
      <c r="AB52" s="2" t="s">
        <v>510</v>
      </c>
      <c r="AC52" s="2" t="s">
        <v>509</v>
      </c>
      <c r="AD52" s="4">
        <v>40</v>
      </c>
      <c r="AI52" s="25" t="s">
        <v>91</v>
      </c>
      <c r="AJ52" s="2" t="s">
        <v>50</v>
      </c>
      <c r="AK52" s="14" t="s">
        <v>47</v>
      </c>
      <c r="AL52" s="53" t="s">
        <v>180</v>
      </c>
      <c r="AM52" s="14"/>
      <c r="AN52" s="14"/>
      <c r="AO52" s="14"/>
      <c r="AP52" s="53"/>
      <c r="AQ52" s="14"/>
      <c r="AR52" s="14"/>
      <c r="AS52" s="14"/>
      <c r="AT52" s="53"/>
      <c r="AU52" s="7">
        <v>48.4</v>
      </c>
      <c r="AZ52" s="2" t="s">
        <v>52</v>
      </c>
      <c r="BA52" s="2" t="s">
        <v>53</v>
      </c>
      <c r="BB52" s="2" t="s">
        <v>400</v>
      </c>
      <c r="BC52" s="2" t="s">
        <v>399</v>
      </c>
      <c r="BD52" s="16"/>
      <c r="BE52" s="4">
        <f t="shared" si="2"/>
        <v>1400469050</v>
      </c>
      <c r="BF52" s="4">
        <f t="shared" si="2"/>
        <v>0</v>
      </c>
      <c r="BG52" s="17"/>
      <c r="BH52" s="37"/>
      <c r="BI52" s="17"/>
    </row>
    <row r="53" spans="1:61" ht="15" customHeight="1" x14ac:dyDescent="0.25">
      <c r="A53" s="13"/>
      <c r="B53" s="23" t="s">
        <v>198</v>
      </c>
      <c r="C53" s="65" t="s">
        <v>199</v>
      </c>
      <c r="D53" s="10">
        <v>1400894448</v>
      </c>
      <c r="E53" s="13"/>
      <c r="F53" s="15">
        <v>32593</v>
      </c>
      <c r="G53" s="13">
        <f>2026-1989</f>
        <v>37</v>
      </c>
      <c r="H53" s="2" t="s">
        <v>401</v>
      </c>
      <c r="I53" s="2" t="s">
        <v>45</v>
      </c>
      <c r="J53" s="2" t="s">
        <v>46</v>
      </c>
      <c r="K53" s="2" t="s">
        <v>47</v>
      </c>
      <c r="L53" s="2" t="s">
        <v>47</v>
      </c>
      <c r="M53" t="s">
        <v>561</v>
      </c>
      <c r="N53" s="2" t="s">
        <v>48</v>
      </c>
      <c r="O53" s="2" t="s">
        <v>48</v>
      </c>
      <c r="U53" s="52"/>
      <c r="Z53" s="52"/>
      <c r="AA53" s="2" t="s">
        <v>508</v>
      </c>
      <c r="AB53" s="2" t="s">
        <v>510</v>
      </c>
      <c r="AC53" s="2" t="s">
        <v>509</v>
      </c>
      <c r="AD53" s="4">
        <v>40</v>
      </c>
      <c r="AI53" s="25" t="s">
        <v>195</v>
      </c>
      <c r="AJ53" s="2" t="s">
        <v>50</v>
      </c>
      <c r="AK53" s="14" t="s">
        <v>47</v>
      </c>
      <c r="AL53" s="53" t="s">
        <v>79</v>
      </c>
      <c r="AM53" s="14"/>
      <c r="AN53" s="14"/>
      <c r="AO53" s="14"/>
      <c r="AP53" s="53"/>
      <c r="AQ53" s="14"/>
      <c r="AR53" s="14"/>
      <c r="AS53" s="14"/>
      <c r="AT53" s="53"/>
      <c r="AU53" s="7">
        <v>48.4</v>
      </c>
      <c r="AZ53" s="2" t="s">
        <v>52</v>
      </c>
      <c r="BA53" s="2" t="s">
        <v>53</v>
      </c>
      <c r="BB53" s="2" t="s">
        <v>400</v>
      </c>
      <c r="BC53" s="2" t="s">
        <v>399</v>
      </c>
      <c r="BD53" s="16"/>
      <c r="BE53" s="4">
        <f t="shared" si="2"/>
        <v>1400894448</v>
      </c>
      <c r="BF53" s="4">
        <f t="shared" si="2"/>
        <v>0</v>
      </c>
      <c r="BG53" s="17"/>
      <c r="BH53" s="37"/>
      <c r="BI53" s="17"/>
    </row>
    <row r="54" spans="1:61" ht="15" customHeight="1" x14ac:dyDescent="0.25">
      <c r="A54" s="13"/>
      <c r="B54" s="23" t="s">
        <v>200</v>
      </c>
      <c r="C54" s="65" t="s">
        <v>201</v>
      </c>
      <c r="D54" s="10">
        <v>1400408389</v>
      </c>
      <c r="E54" s="13"/>
      <c r="F54" s="15">
        <v>27037</v>
      </c>
      <c r="G54" s="13">
        <f>2026-1974</f>
        <v>52</v>
      </c>
      <c r="H54" s="2" t="s">
        <v>401</v>
      </c>
      <c r="I54" s="2" t="s">
        <v>45</v>
      </c>
      <c r="J54" s="2" t="s">
        <v>46</v>
      </c>
      <c r="K54" s="2" t="s">
        <v>47</v>
      </c>
      <c r="L54" s="2" t="s">
        <v>47</v>
      </c>
      <c r="M54" t="s">
        <v>562</v>
      </c>
      <c r="N54" s="2" t="s">
        <v>48</v>
      </c>
      <c r="O54" s="2" t="s">
        <v>48</v>
      </c>
      <c r="U54" s="52"/>
      <c r="Z54" s="52"/>
      <c r="AA54" s="2" t="s">
        <v>508</v>
      </c>
      <c r="AB54" s="2" t="s">
        <v>510</v>
      </c>
      <c r="AC54" s="2" t="s">
        <v>509</v>
      </c>
      <c r="AD54" s="4">
        <v>40</v>
      </c>
      <c r="AI54" s="25" t="s">
        <v>202</v>
      </c>
      <c r="AJ54" s="2" t="s">
        <v>50</v>
      </c>
      <c r="AK54" s="14" t="s">
        <v>414</v>
      </c>
      <c r="AL54" s="53" t="s">
        <v>79</v>
      </c>
      <c r="AM54" s="14"/>
      <c r="AN54" s="14"/>
      <c r="AO54" s="14"/>
      <c r="AP54" s="53"/>
      <c r="AQ54" s="14"/>
      <c r="AR54" s="14"/>
      <c r="AS54" s="14"/>
      <c r="AT54" s="53"/>
      <c r="AU54" s="7">
        <v>48.4</v>
      </c>
      <c r="AZ54" s="2" t="s">
        <v>52</v>
      </c>
      <c r="BA54" s="2" t="s">
        <v>53</v>
      </c>
      <c r="BB54" s="2" t="s">
        <v>400</v>
      </c>
      <c r="BC54" s="2" t="s">
        <v>399</v>
      </c>
      <c r="BD54" s="16"/>
      <c r="BE54" s="4">
        <f t="shared" si="2"/>
        <v>1400408389</v>
      </c>
      <c r="BF54" s="4">
        <f t="shared" si="2"/>
        <v>0</v>
      </c>
      <c r="BG54" s="17"/>
      <c r="BH54" s="37"/>
      <c r="BI54" s="17"/>
    </row>
    <row r="55" spans="1:61" ht="15" customHeight="1" x14ac:dyDescent="0.25">
      <c r="A55" s="13" t="s">
        <v>58</v>
      </c>
      <c r="B55" s="23" t="s">
        <v>203</v>
      </c>
      <c r="C55" s="65" t="s">
        <v>204</v>
      </c>
      <c r="D55" s="10">
        <v>1600880353</v>
      </c>
      <c r="E55" s="13"/>
      <c r="F55" s="15">
        <v>33834</v>
      </c>
      <c r="G55" s="13">
        <f>2026-1992</f>
        <v>34</v>
      </c>
      <c r="H55" s="2" t="s">
        <v>401</v>
      </c>
      <c r="I55" s="2" t="s">
        <v>45</v>
      </c>
      <c r="J55" s="2" t="s">
        <v>46</v>
      </c>
      <c r="K55" s="2" t="s">
        <v>47</v>
      </c>
      <c r="L55" s="2" t="s">
        <v>47</v>
      </c>
      <c r="M55" t="s">
        <v>563</v>
      </c>
      <c r="N55" s="2" t="s">
        <v>48</v>
      </c>
      <c r="O55" s="2" t="s">
        <v>48</v>
      </c>
      <c r="U55" s="52"/>
      <c r="Z55" s="52"/>
      <c r="AA55" s="2" t="s">
        <v>508</v>
      </c>
      <c r="AB55" s="2" t="s">
        <v>510</v>
      </c>
      <c r="AC55" s="2" t="s">
        <v>509</v>
      </c>
      <c r="AD55" s="4">
        <v>40</v>
      </c>
      <c r="AE55" s="2" t="s">
        <v>630</v>
      </c>
      <c r="AF55" s="2" t="s">
        <v>50</v>
      </c>
      <c r="AG55" s="2" t="s">
        <v>631</v>
      </c>
      <c r="AI55" s="25"/>
      <c r="AJ55" s="14"/>
      <c r="AK55" s="14"/>
      <c r="AL55" s="53"/>
      <c r="AM55" s="14"/>
      <c r="AN55" s="14"/>
      <c r="AO55" s="14"/>
      <c r="AP55" s="53"/>
      <c r="AQ55" s="14"/>
      <c r="AR55" s="14"/>
      <c r="AS55" s="14"/>
      <c r="AT55" s="53"/>
      <c r="AU55" s="7">
        <v>48.4</v>
      </c>
      <c r="AZ55" s="2" t="s">
        <v>52</v>
      </c>
      <c r="BA55" s="2" t="s">
        <v>53</v>
      </c>
      <c r="BB55" s="2" t="s">
        <v>400</v>
      </c>
      <c r="BC55" s="2" t="s">
        <v>399</v>
      </c>
      <c r="BD55" s="16"/>
      <c r="BE55" s="4">
        <f t="shared" si="2"/>
        <v>1600880353</v>
      </c>
      <c r="BF55" s="4">
        <f t="shared" si="2"/>
        <v>0</v>
      </c>
      <c r="BG55" s="17"/>
      <c r="BH55" s="37"/>
      <c r="BI55" s="17"/>
    </row>
    <row r="56" spans="1:61" ht="15" customHeight="1" x14ac:dyDescent="0.25">
      <c r="A56" s="13"/>
      <c r="B56" s="23" t="s">
        <v>205</v>
      </c>
      <c r="C56" s="65" t="s">
        <v>206</v>
      </c>
      <c r="D56" s="10">
        <v>1601006271</v>
      </c>
      <c r="E56" s="13"/>
      <c r="F56" s="15">
        <v>35507</v>
      </c>
      <c r="G56" s="13">
        <f>2026-1997</f>
        <v>29</v>
      </c>
      <c r="H56" s="2" t="s">
        <v>401</v>
      </c>
      <c r="I56" s="2" t="s">
        <v>45</v>
      </c>
      <c r="J56" s="2" t="s">
        <v>46</v>
      </c>
      <c r="K56" s="2" t="s">
        <v>47</v>
      </c>
      <c r="L56" s="2" t="s">
        <v>47</v>
      </c>
      <c r="M56" t="s">
        <v>564</v>
      </c>
      <c r="N56" s="2" t="s">
        <v>48</v>
      </c>
      <c r="O56" s="2" t="s">
        <v>48</v>
      </c>
      <c r="U56" s="52"/>
      <c r="Z56" s="52"/>
      <c r="AA56" s="2" t="s">
        <v>508</v>
      </c>
      <c r="AB56" s="2" t="s">
        <v>510</v>
      </c>
      <c r="AC56" s="2" t="s">
        <v>509</v>
      </c>
      <c r="AD56" s="4">
        <v>40</v>
      </c>
      <c r="AI56" s="25" t="s">
        <v>207</v>
      </c>
      <c r="AJ56" s="2" t="s">
        <v>50</v>
      </c>
      <c r="AK56" s="14" t="s">
        <v>409</v>
      </c>
      <c r="AL56" s="53" t="s">
        <v>79</v>
      </c>
      <c r="AM56" s="14"/>
      <c r="AN56" s="14"/>
      <c r="AO56" s="14"/>
      <c r="AP56" s="53"/>
      <c r="AQ56" s="14"/>
      <c r="AR56" s="14"/>
      <c r="AS56" s="14"/>
      <c r="AT56" s="53"/>
      <c r="AU56" s="7">
        <v>48.4</v>
      </c>
      <c r="AZ56" s="2" t="s">
        <v>52</v>
      </c>
      <c r="BA56" s="2" t="s">
        <v>53</v>
      </c>
      <c r="BB56" s="2" t="s">
        <v>400</v>
      </c>
      <c r="BC56" s="2" t="s">
        <v>399</v>
      </c>
      <c r="BD56" s="16"/>
      <c r="BE56" s="4">
        <f t="shared" si="2"/>
        <v>1601006271</v>
      </c>
      <c r="BF56" s="4">
        <f t="shared" si="2"/>
        <v>0</v>
      </c>
      <c r="BG56" s="17"/>
      <c r="BH56" s="37"/>
      <c r="BI56" s="17"/>
    </row>
    <row r="57" spans="1:61" ht="15" customHeight="1" x14ac:dyDescent="0.25">
      <c r="A57" s="13"/>
      <c r="B57" s="23" t="s">
        <v>208</v>
      </c>
      <c r="C57" s="65" t="s">
        <v>209</v>
      </c>
      <c r="D57" s="10">
        <v>1400977102</v>
      </c>
      <c r="E57" s="13"/>
      <c r="F57" s="15">
        <v>37947</v>
      </c>
      <c r="G57" s="13">
        <f>2026-2003</f>
        <v>23</v>
      </c>
      <c r="H57" s="2" t="s">
        <v>401</v>
      </c>
      <c r="I57" s="2" t="s">
        <v>45</v>
      </c>
      <c r="J57" s="2" t="s">
        <v>46</v>
      </c>
      <c r="K57" s="2" t="s">
        <v>47</v>
      </c>
      <c r="L57" s="2" t="s">
        <v>47</v>
      </c>
      <c r="M57" t="s">
        <v>565</v>
      </c>
      <c r="N57" s="2" t="s">
        <v>48</v>
      </c>
      <c r="O57" s="2" t="s">
        <v>48</v>
      </c>
      <c r="U57" s="52"/>
      <c r="Z57" s="52"/>
      <c r="AA57" s="2" t="s">
        <v>508</v>
      </c>
      <c r="AB57" s="2" t="s">
        <v>510</v>
      </c>
      <c r="AC57" s="2" t="s">
        <v>509</v>
      </c>
      <c r="AD57" s="4">
        <v>40</v>
      </c>
      <c r="AI57" s="25" t="s">
        <v>210</v>
      </c>
      <c r="AJ57" s="2" t="s">
        <v>50</v>
      </c>
      <c r="AK57" s="14" t="s">
        <v>415</v>
      </c>
      <c r="AL57" s="53" t="s">
        <v>79</v>
      </c>
      <c r="AM57" s="14"/>
      <c r="AN57" s="14"/>
      <c r="AO57" s="14"/>
      <c r="AP57" s="53"/>
      <c r="AQ57" s="14"/>
      <c r="AR57" s="14"/>
      <c r="AS57" s="14"/>
      <c r="AT57" s="53"/>
      <c r="AU57" s="7">
        <v>48.4</v>
      </c>
      <c r="AZ57" s="2" t="s">
        <v>52</v>
      </c>
      <c r="BA57" s="2" t="s">
        <v>53</v>
      </c>
      <c r="BB57" s="2" t="s">
        <v>400</v>
      </c>
      <c r="BC57" s="2" t="s">
        <v>399</v>
      </c>
      <c r="BD57" s="16"/>
      <c r="BE57" s="4">
        <f t="shared" si="2"/>
        <v>1400977102</v>
      </c>
      <c r="BF57" s="4">
        <f t="shared" si="2"/>
        <v>0</v>
      </c>
      <c r="BG57" s="17"/>
      <c r="BH57" s="37"/>
      <c r="BI57" s="17"/>
    </row>
    <row r="58" spans="1:61" ht="15" customHeight="1" x14ac:dyDescent="0.25">
      <c r="A58" s="13"/>
      <c r="B58" s="23" t="s">
        <v>211</v>
      </c>
      <c r="C58" s="65" t="s">
        <v>212</v>
      </c>
      <c r="D58" s="10">
        <v>1400408645</v>
      </c>
      <c r="E58" s="13"/>
      <c r="F58" s="15">
        <v>27565</v>
      </c>
      <c r="G58" s="13">
        <f>2026-1975</f>
        <v>51</v>
      </c>
      <c r="H58" s="2" t="s">
        <v>401</v>
      </c>
      <c r="I58" s="2" t="s">
        <v>45</v>
      </c>
      <c r="J58" s="2" t="s">
        <v>46</v>
      </c>
      <c r="K58" s="2" t="s">
        <v>47</v>
      </c>
      <c r="L58" s="2" t="s">
        <v>47</v>
      </c>
      <c r="M58" t="s">
        <v>566</v>
      </c>
      <c r="N58" s="2" t="s">
        <v>48</v>
      </c>
      <c r="O58" s="2" t="s">
        <v>48</v>
      </c>
      <c r="U58" s="52"/>
      <c r="Z58" s="52"/>
      <c r="AA58" s="2" t="s">
        <v>508</v>
      </c>
      <c r="AB58" s="2" t="s">
        <v>510</v>
      </c>
      <c r="AC58" s="2" t="s">
        <v>509</v>
      </c>
      <c r="AD58" s="4">
        <v>40</v>
      </c>
      <c r="AI58" s="25" t="s">
        <v>132</v>
      </c>
      <c r="AJ58" s="2" t="s">
        <v>50</v>
      </c>
      <c r="AK58" s="14" t="s">
        <v>406</v>
      </c>
      <c r="AL58" s="53" t="s">
        <v>79</v>
      </c>
      <c r="AM58" s="14"/>
      <c r="AN58" s="14"/>
      <c r="AO58" s="14"/>
      <c r="AP58" s="53"/>
      <c r="AQ58" s="14"/>
      <c r="AR58" s="14"/>
      <c r="AS58" s="14"/>
      <c r="AT58" s="53"/>
      <c r="AU58" s="7">
        <v>48.4</v>
      </c>
      <c r="AZ58" s="2" t="s">
        <v>52</v>
      </c>
      <c r="BA58" s="2" t="s">
        <v>53</v>
      </c>
      <c r="BB58" s="2" t="s">
        <v>400</v>
      </c>
      <c r="BC58" s="2" t="s">
        <v>399</v>
      </c>
      <c r="BD58" s="16"/>
      <c r="BE58" s="4">
        <f t="shared" si="2"/>
        <v>1400408645</v>
      </c>
      <c r="BF58" s="4">
        <f t="shared" si="2"/>
        <v>0</v>
      </c>
      <c r="BG58" s="17"/>
      <c r="BH58" s="37"/>
      <c r="BI58" s="17"/>
    </row>
    <row r="59" spans="1:61" ht="15" customHeight="1" x14ac:dyDescent="0.25">
      <c r="A59" s="13"/>
      <c r="B59" s="23" t="s">
        <v>213</v>
      </c>
      <c r="C59" s="65" t="s">
        <v>214</v>
      </c>
      <c r="D59" s="10">
        <v>1450299027</v>
      </c>
      <c r="E59" s="13"/>
      <c r="F59" s="15">
        <v>38579</v>
      </c>
      <c r="G59" s="13">
        <f>2026-2005</f>
        <v>21</v>
      </c>
      <c r="H59" s="2" t="s">
        <v>401</v>
      </c>
      <c r="I59" s="2" t="s">
        <v>45</v>
      </c>
      <c r="J59" s="2" t="s">
        <v>46</v>
      </c>
      <c r="K59" s="2" t="s">
        <v>47</v>
      </c>
      <c r="L59" s="2" t="s">
        <v>47</v>
      </c>
      <c r="M59" t="s">
        <v>567</v>
      </c>
      <c r="N59" s="2" t="s">
        <v>48</v>
      </c>
      <c r="O59" s="2" t="s">
        <v>48</v>
      </c>
      <c r="U59" s="52"/>
      <c r="Z59" s="52"/>
      <c r="AA59" s="2" t="s">
        <v>508</v>
      </c>
      <c r="AB59" s="2" t="s">
        <v>510</v>
      </c>
      <c r="AC59" s="2" t="s">
        <v>509</v>
      </c>
      <c r="AD59" s="4">
        <v>40</v>
      </c>
      <c r="AI59" s="25" t="s">
        <v>215</v>
      </c>
      <c r="AJ59" s="2" t="s">
        <v>50</v>
      </c>
      <c r="AK59" s="14" t="s">
        <v>416</v>
      </c>
      <c r="AL59" s="53" t="s">
        <v>79</v>
      </c>
      <c r="AM59" s="14"/>
      <c r="AN59" s="14"/>
      <c r="AO59" s="14"/>
      <c r="AP59" s="53"/>
      <c r="AQ59" s="14"/>
      <c r="AR59" s="14"/>
      <c r="AS59" s="14"/>
      <c r="AT59" s="53"/>
      <c r="AU59" s="7">
        <v>48.4</v>
      </c>
      <c r="AZ59" s="2" t="s">
        <v>52</v>
      </c>
      <c r="BA59" s="2" t="s">
        <v>53</v>
      </c>
      <c r="BB59" s="2" t="s">
        <v>400</v>
      </c>
      <c r="BC59" s="2" t="s">
        <v>399</v>
      </c>
      <c r="BD59" s="16"/>
      <c r="BE59" s="4">
        <f t="shared" si="2"/>
        <v>1450299027</v>
      </c>
      <c r="BF59" s="4">
        <f t="shared" si="2"/>
        <v>0</v>
      </c>
      <c r="BG59" s="17"/>
      <c r="BH59" s="37"/>
      <c r="BI59" s="17"/>
    </row>
    <row r="60" spans="1:61" ht="15" customHeight="1" x14ac:dyDescent="0.25">
      <c r="A60" s="13"/>
      <c r="B60" s="23" t="s">
        <v>216</v>
      </c>
      <c r="C60" s="65" t="s">
        <v>217</v>
      </c>
      <c r="D60" s="10">
        <v>1600830606</v>
      </c>
      <c r="E60" s="13"/>
      <c r="F60" s="15">
        <v>34620</v>
      </c>
      <c r="G60" s="13">
        <f>2026-1994</f>
        <v>32</v>
      </c>
      <c r="H60" s="2" t="s">
        <v>401</v>
      </c>
      <c r="I60" s="2" t="s">
        <v>45</v>
      </c>
      <c r="J60" s="2" t="s">
        <v>46</v>
      </c>
      <c r="K60" s="2" t="s">
        <v>47</v>
      </c>
      <c r="L60" s="2" t="s">
        <v>47</v>
      </c>
      <c r="M60" t="s">
        <v>568</v>
      </c>
      <c r="N60" s="2" t="s">
        <v>48</v>
      </c>
      <c r="O60" s="2" t="s">
        <v>48</v>
      </c>
      <c r="U60" s="52"/>
      <c r="Z60" s="52"/>
      <c r="AA60" s="2" t="s">
        <v>508</v>
      </c>
      <c r="AB60" s="2" t="s">
        <v>510</v>
      </c>
      <c r="AC60" s="2" t="s">
        <v>509</v>
      </c>
      <c r="AD60" s="4">
        <v>40</v>
      </c>
      <c r="AI60" s="25" t="s">
        <v>218</v>
      </c>
      <c r="AJ60" s="2" t="s">
        <v>50</v>
      </c>
      <c r="AK60" s="14" t="s">
        <v>417</v>
      </c>
      <c r="AL60" s="53" t="s">
        <v>79</v>
      </c>
      <c r="AM60" s="14"/>
      <c r="AN60" s="14"/>
      <c r="AO60" s="14"/>
      <c r="AP60" s="53"/>
      <c r="AQ60" s="14"/>
      <c r="AR60" s="14"/>
      <c r="AS60" s="14"/>
      <c r="AT60" s="53"/>
      <c r="AU60" s="7">
        <v>48.4</v>
      </c>
      <c r="AZ60" s="2" t="s">
        <v>52</v>
      </c>
      <c r="BA60" s="2" t="s">
        <v>53</v>
      </c>
      <c r="BB60" s="2" t="s">
        <v>400</v>
      </c>
      <c r="BC60" s="2" t="s">
        <v>399</v>
      </c>
      <c r="BD60" s="16"/>
      <c r="BE60" s="4">
        <f t="shared" si="2"/>
        <v>1600830606</v>
      </c>
      <c r="BF60" s="4">
        <f t="shared" si="2"/>
        <v>0</v>
      </c>
      <c r="BG60" s="17"/>
      <c r="BH60" s="37"/>
      <c r="BI60" s="17"/>
    </row>
    <row r="61" spans="1:61" ht="15" customHeight="1" x14ac:dyDescent="0.25">
      <c r="A61" s="13"/>
      <c r="B61" s="23" t="s">
        <v>219</v>
      </c>
      <c r="C61" s="65" t="s">
        <v>220</v>
      </c>
      <c r="D61" s="10">
        <v>1400805709</v>
      </c>
      <c r="E61" s="13"/>
      <c r="F61" s="15">
        <v>33264</v>
      </c>
      <c r="G61" s="13">
        <f>2026-1991</f>
        <v>35</v>
      </c>
      <c r="H61" s="2" t="s">
        <v>401</v>
      </c>
      <c r="I61" s="2" t="s">
        <v>45</v>
      </c>
      <c r="J61" s="2" t="s">
        <v>46</v>
      </c>
      <c r="K61" s="2" t="s">
        <v>47</v>
      </c>
      <c r="L61" s="2" t="s">
        <v>47</v>
      </c>
      <c r="M61" t="s">
        <v>569</v>
      </c>
      <c r="N61" s="2" t="s">
        <v>48</v>
      </c>
      <c r="O61" s="2" t="s">
        <v>48</v>
      </c>
      <c r="U61" s="60"/>
      <c r="Z61" s="60"/>
      <c r="AA61" s="2" t="s">
        <v>508</v>
      </c>
      <c r="AB61" s="2" t="s">
        <v>510</v>
      </c>
      <c r="AC61" s="2" t="s">
        <v>509</v>
      </c>
      <c r="AD61" s="4">
        <v>40</v>
      </c>
      <c r="AI61" s="25" t="s">
        <v>132</v>
      </c>
      <c r="AJ61" s="2" t="s">
        <v>50</v>
      </c>
      <c r="AK61" s="14" t="s">
        <v>406</v>
      </c>
      <c r="AL61" s="53" t="s">
        <v>221</v>
      </c>
      <c r="AM61" s="14"/>
      <c r="AN61" s="14"/>
      <c r="AO61" s="14"/>
      <c r="AP61" s="53"/>
      <c r="AQ61" s="14"/>
      <c r="AR61" s="14"/>
      <c r="AS61" s="14"/>
      <c r="AT61" s="58"/>
      <c r="AU61" s="7">
        <v>48.4</v>
      </c>
      <c r="AZ61" s="2" t="s">
        <v>52</v>
      </c>
      <c r="BA61" s="2" t="s">
        <v>53</v>
      </c>
      <c r="BB61" s="2" t="s">
        <v>400</v>
      </c>
      <c r="BC61" s="2" t="s">
        <v>399</v>
      </c>
      <c r="BD61" s="16"/>
      <c r="BE61" s="4">
        <f t="shared" si="2"/>
        <v>1400805709</v>
      </c>
      <c r="BF61" s="4">
        <f t="shared" si="2"/>
        <v>0</v>
      </c>
      <c r="BG61" s="17"/>
      <c r="BH61" s="37"/>
      <c r="BI61" s="17"/>
    </row>
    <row r="62" spans="1:61" ht="15" customHeight="1" x14ac:dyDescent="0.25">
      <c r="A62" s="18" t="s">
        <v>95</v>
      </c>
      <c r="B62" s="23" t="s">
        <v>222</v>
      </c>
      <c r="C62" s="66" t="s">
        <v>223</v>
      </c>
      <c r="D62" s="19" t="s">
        <v>224</v>
      </c>
      <c r="E62" s="17"/>
      <c r="F62" s="15">
        <v>29485</v>
      </c>
      <c r="G62" s="13">
        <f>2026-1980</f>
        <v>46</v>
      </c>
      <c r="H62" s="2" t="s">
        <v>401</v>
      </c>
      <c r="I62" s="2" t="s">
        <v>45</v>
      </c>
      <c r="K62" s="2" t="s">
        <v>47</v>
      </c>
      <c r="L62" s="2" t="s">
        <v>47</v>
      </c>
      <c r="M62" t="s">
        <v>570</v>
      </c>
      <c r="N62" s="2" t="s">
        <v>48</v>
      </c>
      <c r="O62" s="2" t="s">
        <v>48</v>
      </c>
      <c r="U62" s="61"/>
      <c r="Z62" s="61"/>
      <c r="AA62" s="2" t="s">
        <v>508</v>
      </c>
      <c r="AB62" s="2" t="s">
        <v>510</v>
      </c>
      <c r="AC62" s="2" t="s">
        <v>509</v>
      </c>
      <c r="AD62" s="4">
        <v>40</v>
      </c>
      <c r="AE62" s="2"/>
      <c r="AF62" s="2"/>
      <c r="AG62" s="2"/>
      <c r="AI62" s="25"/>
      <c r="AJ62" s="14"/>
      <c r="AK62" s="14"/>
      <c r="AL62" s="53"/>
      <c r="AM62" s="14" t="s">
        <v>225</v>
      </c>
      <c r="AN62" s="2" t="s">
        <v>50</v>
      </c>
      <c r="AO62" s="14" t="s">
        <v>418</v>
      </c>
      <c r="AP62" s="53" t="s">
        <v>226</v>
      </c>
      <c r="AQ62" s="14"/>
      <c r="AR62" s="14"/>
      <c r="AS62" s="14"/>
      <c r="AT62" s="62"/>
      <c r="AU62" s="7">
        <v>48.4</v>
      </c>
      <c r="AZ62" s="2" t="s">
        <v>52</v>
      </c>
      <c r="BA62" s="2" t="s">
        <v>53</v>
      </c>
      <c r="BB62" s="2" t="s">
        <v>400</v>
      </c>
      <c r="BC62" s="2" t="s">
        <v>399</v>
      </c>
      <c r="BD62" s="16"/>
      <c r="BE62" s="4" t="str">
        <f t="shared" si="2"/>
        <v>0103558565</v>
      </c>
      <c r="BF62" s="17"/>
      <c r="BG62" s="17"/>
      <c r="BH62" s="37"/>
      <c r="BI62" s="17"/>
    </row>
    <row r="63" spans="1:61" ht="15" customHeight="1" x14ac:dyDescent="0.25">
      <c r="A63" s="18" t="s">
        <v>227</v>
      </c>
      <c r="B63" s="23" t="s">
        <v>228</v>
      </c>
      <c r="C63" s="66" t="s">
        <v>229</v>
      </c>
      <c r="D63" s="20" t="s">
        <v>230</v>
      </c>
      <c r="E63" s="17"/>
      <c r="F63" s="15">
        <v>29344</v>
      </c>
      <c r="G63" s="13">
        <f>2026-1980</f>
        <v>46</v>
      </c>
      <c r="H63" s="2" t="s">
        <v>401</v>
      </c>
      <c r="I63" s="2" t="s">
        <v>45</v>
      </c>
      <c r="K63" s="2" t="s">
        <v>47</v>
      </c>
      <c r="L63" s="2" t="s">
        <v>47</v>
      </c>
      <c r="M63" t="s">
        <v>571</v>
      </c>
      <c r="N63" s="2" t="s">
        <v>48</v>
      </c>
      <c r="O63" s="2" t="s">
        <v>48</v>
      </c>
      <c r="U63" s="52"/>
      <c r="Z63" s="52"/>
      <c r="AA63" s="2" t="s">
        <v>508</v>
      </c>
      <c r="AB63" s="2" t="s">
        <v>510</v>
      </c>
      <c r="AC63" s="2" t="s">
        <v>509</v>
      </c>
      <c r="AD63" s="4">
        <v>40</v>
      </c>
      <c r="AI63" s="25" t="s">
        <v>231</v>
      </c>
      <c r="AJ63" s="2" t="s">
        <v>50</v>
      </c>
      <c r="AK63" s="14" t="s">
        <v>418</v>
      </c>
      <c r="AL63" s="53" t="s">
        <v>79</v>
      </c>
      <c r="AM63" s="14" t="s">
        <v>232</v>
      </c>
      <c r="AN63" s="2" t="s">
        <v>50</v>
      </c>
      <c r="AO63" s="14" t="s">
        <v>418</v>
      </c>
      <c r="AP63" s="53" t="s">
        <v>233</v>
      </c>
      <c r="AQ63" s="14" t="s">
        <v>234</v>
      </c>
      <c r="AR63" s="14" t="s">
        <v>423</v>
      </c>
      <c r="AS63" s="14" t="s">
        <v>421</v>
      </c>
      <c r="AT63" s="53" t="s">
        <v>235</v>
      </c>
      <c r="AU63" s="7">
        <v>48.4</v>
      </c>
      <c r="AZ63" s="2" t="s">
        <v>52</v>
      </c>
      <c r="BA63" s="2" t="s">
        <v>53</v>
      </c>
      <c r="BB63" s="2" t="s">
        <v>400</v>
      </c>
      <c r="BC63" s="2" t="s">
        <v>399</v>
      </c>
      <c r="BD63" s="16"/>
      <c r="BE63" s="4" t="str">
        <f t="shared" si="2"/>
        <v>0103538856</v>
      </c>
      <c r="BF63" s="17"/>
      <c r="BG63" s="17"/>
      <c r="BH63" s="37"/>
      <c r="BI63" s="17"/>
    </row>
    <row r="64" spans="1:61" ht="15" customHeight="1" x14ac:dyDescent="0.25">
      <c r="A64" s="18" t="s">
        <v>95</v>
      </c>
      <c r="B64" s="25" t="s">
        <v>236</v>
      </c>
      <c r="C64" s="66" t="s">
        <v>237</v>
      </c>
      <c r="D64" s="19">
        <v>1400574636</v>
      </c>
      <c r="E64" s="17"/>
      <c r="F64" s="15">
        <v>30366</v>
      </c>
      <c r="G64" s="13">
        <f>2026-1983</f>
        <v>43</v>
      </c>
      <c r="H64" s="2" t="s">
        <v>401</v>
      </c>
      <c r="I64" s="2" t="s">
        <v>45</v>
      </c>
      <c r="K64" s="2" t="s">
        <v>47</v>
      </c>
      <c r="L64" s="2" t="s">
        <v>47</v>
      </c>
      <c r="M64" t="s">
        <v>572</v>
      </c>
      <c r="N64" s="2" t="s">
        <v>48</v>
      </c>
      <c r="O64" s="2" t="s">
        <v>48</v>
      </c>
      <c r="U64" s="52"/>
      <c r="Z64" s="52"/>
      <c r="AA64" s="2" t="s">
        <v>508</v>
      </c>
      <c r="AB64" s="2" t="s">
        <v>510</v>
      </c>
      <c r="AC64" s="2" t="s">
        <v>509</v>
      </c>
      <c r="AD64" s="4">
        <v>40</v>
      </c>
      <c r="AI64" s="25" t="s">
        <v>91</v>
      </c>
      <c r="AJ64" s="2" t="s">
        <v>50</v>
      </c>
      <c r="AK64" s="14" t="s">
        <v>47</v>
      </c>
      <c r="AL64" s="53" t="s">
        <v>79</v>
      </c>
      <c r="AM64" s="14" t="s">
        <v>238</v>
      </c>
      <c r="AN64" s="2" t="s">
        <v>50</v>
      </c>
      <c r="AO64" s="14" t="s">
        <v>422</v>
      </c>
      <c r="AP64" s="53" t="s">
        <v>233</v>
      </c>
      <c r="AQ64" s="14"/>
      <c r="AR64" s="14"/>
      <c r="AS64" s="14"/>
      <c r="AT64" s="53"/>
      <c r="AU64" s="7">
        <v>48.4</v>
      </c>
      <c r="AZ64" s="2" t="s">
        <v>52</v>
      </c>
      <c r="BA64" s="2" t="s">
        <v>53</v>
      </c>
      <c r="BB64" s="2" t="s">
        <v>400</v>
      </c>
      <c r="BC64" s="2" t="s">
        <v>399</v>
      </c>
      <c r="BD64" s="16"/>
      <c r="BE64" s="4">
        <f t="shared" ref="BE64:BE120" si="3">D64</f>
        <v>1400574636</v>
      </c>
      <c r="BF64" s="17"/>
      <c r="BG64" s="17"/>
      <c r="BH64" s="37"/>
      <c r="BI64" s="17"/>
    </row>
    <row r="65" spans="1:61" ht="15" customHeight="1" x14ac:dyDescent="0.25">
      <c r="A65" s="13" t="s">
        <v>163</v>
      </c>
      <c r="B65" s="25" t="s">
        <v>239</v>
      </c>
      <c r="C65" s="66" t="s">
        <v>240</v>
      </c>
      <c r="D65" s="20" t="s">
        <v>241</v>
      </c>
      <c r="E65" s="17"/>
      <c r="F65" s="15">
        <v>25627</v>
      </c>
      <c r="G65" s="13">
        <f>2026-1970</f>
        <v>56</v>
      </c>
      <c r="H65" s="2" t="s">
        <v>401</v>
      </c>
      <c r="I65" s="2" t="s">
        <v>45</v>
      </c>
      <c r="K65" s="2" t="s">
        <v>47</v>
      </c>
      <c r="L65" s="2" t="s">
        <v>47</v>
      </c>
      <c r="M65" t="s">
        <v>573</v>
      </c>
      <c r="N65" s="2" t="s">
        <v>48</v>
      </c>
      <c r="O65" s="2" t="s">
        <v>48</v>
      </c>
      <c r="U65" s="52"/>
      <c r="Z65" s="52"/>
      <c r="AA65" s="2" t="s">
        <v>508</v>
      </c>
      <c r="AB65" s="2" t="s">
        <v>510</v>
      </c>
      <c r="AC65" s="2" t="s">
        <v>509</v>
      </c>
      <c r="AD65" s="4">
        <v>40</v>
      </c>
      <c r="AE65" s="2" t="s">
        <v>630</v>
      </c>
      <c r="AF65" s="2" t="s">
        <v>50</v>
      </c>
      <c r="AG65" s="2" t="s">
        <v>631</v>
      </c>
      <c r="AI65" s="25"/>
      <c r="AJ65" s="14"/>
      <c r="AK65" s="14"/>
      <c r="AL65" s="53"/>
      <c r="AM65" s="14"/>
      <c r="AN65" s="14"/>
      <c r="AO65" s="14"/>
      <c r="AP65" s="53"/>
      <c r="AQ65" s="14"/>
      <c r="AR65" s="14"/>
      <c r="AS65" s="14"/>
      <c r="AT65" s="53"/>
      <c r="AU65" s="7">
        <v>48.4</v>
      </c>
      <c r="AZ65" s="2" t="s">
        <v>52</v>
      </c>
      <c r="BA65" s="2" t="s">
        <v>53</v>
      </c>
      <c r="BB65" s="2" t="s">
        <v>400</v>
      </c>
      <c r="BC65" s="2" t="s">
        <v>399</v>
      </c>
      <c r="BD65" s="16"/>
      <c r="BE65" s="4" t="str">
        <f t="shared" si="3"/>
        <v>1400334221</v>
      </c>
      <c r="BF65" s="17"/>
      <c r="BG65" s="17"/>
      <c r="BH65" s="37"/>
      <c r="BI65" s="17"/>
    </row>
    <row r="66" spans="1:61" ht="15" customHeight="1" x14ac:dyDescent="0.25">
      <c r="A66" s="18" t="s">
        <v>227</v>
      </c>
      <c r="B66" s="25" t="s">
        <v>242</v>
      </c>
      <c r="C66" s="66" t="s">
        <v>243</v>
      </c>
      <c r="D66" s="19">
        <v>1400614838</v>
      </c>
      <c r="E66" s="17"/>
      <c r="F66" s="15">
        <v>31555</v>
      </c>
      <c r="G66" s="13">
        <f>2026-1986</f>
        <v>40</v>
      </c>
      <c r="H66" s="2" t="s">
        <v>401</v>
      </c>
      <c r="I66" s="2" t="s">
        <v>45</v>
      </c>
      <c r="K66" s="2" t="s">
        <v>47</v>
      </c>
      <c r="L66" s="2" t="s">
        <v>47</v>
      </c>
      <c r="M66" t="s">
        <v>574</v>
      </c>
      <c r="N66" s="2" t="s">
        <v>48</v>
      </c>
      <c r="O66" s="2" t="s">
        <v>48</v>
      </c>
      <c r="U66" s="52"/>
      <c r="Z66" s="52"/>
      <c r="AA66" s="2" t="s">
        <v>508</v>
      </c>
      <c r="AB66" s="2" t="s">
        <v>510</v>
      </c>
      <c r="AC66" s="2" t="s">
        <v>509</v>
      </c>
      <c r="AD66" s="4">
        <v>40</v>
      </c>
      <c r="AE66" s="2"/>
      <c r="AF66" s="2"/>
      <c r="AG66" s="2"/>
      <c r="AI66" s="25"/>
      <c r="AJ66" s="14"/>
      <c r="AK66" s="14"/>
      <c r="AL66" s="53"/>
      <c r="AM66" s="14" t="s">
        <v>244</v>
      </c>
      <c r="AN66" s="2" t="s">
        <v>50</v>
      </c>
      <c r="AO66" s="14" t="s">
        <v>425</v>
      </c>
      <c r="AP66" s="53" t="s">
        <v>245</v>
      </c>
      <c r="AQ66" s="14" t="s">
        <v>246</v>
      </c>
      <c r="AR66" s="2" t="s">
        <v>50</v>
      </c>
      <c r="AS66" s="14" t="s">
        <v>418</v>
      </c>
      <c r="AT66" s="53" t="s">
        <v>247</v>
      </c>
      <c r="AU66" s="7">
        <v>48.4</v>
      </c>
      <c r="AZ66" s="2" t="s">
        <v>52</v>
      </c>
      <c r="BA66" s="2" t="s">
        <v>53</v>
      </c>
      <c r="BB66" s="2" t="s">
        <v>400</v>
      </c>
      <c r="BC66" s="2" t="s">
        <v>399</v>
      </c>
      <c r="BD66" s="16"/>
      <c r="BE66" s="4">
        <f t="shared" si="3"/>
        <v>1400614838</v>
      </c>
      <c r="BF66" s="17"/>
      <c r="BG66" s="17"/>
      <c r="BH66" s="37"/>
      <c r="BI66" s="17"/>
    </row>
    <row r="67" spans="1:61" ht="15" customHeight="1" x14ac:dyDescent="0.25">
      <c r="A67" s="13"/>
      <c r="B67" s="25" t="s">
        <v>248</v>
      </c>
      <c r="C67" s="66" t="s">
        <v>249</v>
      </c>
      <c r="D67" s="20" t="s">
        <v>250</v>
      </c>
      <c r="E67" s="17"/>
      <c r="F67" s="15">
        <v>36580</v>
      </c>
      <c r="G67" s="13">
        <f>2026-2000</f>
        <v>26</v>
      </c>
      <c r="H67" s="2" t="s">
        <v>401</v>
      </c>
      <c r="I67" s="2" t="s">
        <v>45</v>
      </c>
      <c r="K67" s="2" t="s">
        <v>47</v>
      </c>
      <c r="L67" s="2" t="s">
        <v>47</v>
      </c>
      <c r="M67" t="s">
        <v>575</v>
      </c>
      <c r="N67" s="2" t="s">
        <v>48</v>
      </c>
      <c r="O67" s="2" t="s">
        <v>48</v>
      </c>
      <c r="U67" s="52"/>
      <c r="Z67" s="52"/>
      <c r="AA67" s="2" t="s">
        <v>508</v>
      </c>
      <c r="AB67" s="2" t="s">
        <v>510</v>
      </c>
      <c r="AC67" s="2" t="s">
        <v>509</v>
      </c>
      <c r="AD67" s="4">
        <v>40</v>
      </c>
      <c r="AI67" s="25" t="s">
        <v>251</v>
      </c>
      <c r="AJ67" s="2" t="s">
        <v>50</v>
      </c>
      <c r="AK67" s="14" t="s">
        <v>418</v>
      </c>
      <c r="AL67" s="53" t="s">
        <v>252</v>
      </c>
      <c r="AM67" s="14"/>
      <c r="AN67" s="14"/>
      <c r="AO67" s="14"/>
      <c r="AP67" s="53"/>
      <c r="AQ67" s="14"/>
      <c r="AR67" s="14"/>
      <c r="AS67" s="14"/>
      <c r="AT67" s="53"/>
      <c r="AU67" s="7">
        <v>48.4</v>
      </c>
      <c r="AZ67" s="2" t="s">
        <v>52</v>
      </c>
      <c r="BA67" s="2" t="s">
        <v>53</v>
      </c>
      <c r="BB67" s="2" t="s">
        <v>400</v>
      </c>
      <c r="BC67" s="2" t="s">
        <v>399</v>
      </c>
      <c r="BD67" s="16"/>
      <c r="BE67" s="4" t="str">
        <f t="shared" si="3"/>
        <v>0106646995</v>
      </c>
      <c r="BF67" s="17"/>
      <c r="BG67" s="17"/>
      <c r="BH67" s="37"/>
      <c r="BI67" s="17"/>
    </row>
    <row r="68" spans="1:61" ht="15" customHeight="1" x14ac:dyDescent="0.25">
      <c r="A68" s="13"/>
      <c r="B68" s="25" t="s">
        <v>253</v>
      </c>
      <c r="C68" s="66" t="s">
        <v>254</v>
      </c>
      <c r="D68" s="19">
        <v>1400985337</v>
      </c>
      <c r="E68" s="17"/>
      <c r="F68" s="15">
        <v>36825</v>
      </c>
      <c r="G68" s="13">
        <f>2026-2000</f>
        <v>26</v>
      </c>
      <c r="H68" s="2" t="s">
        <v>401</v>
      </c>
      <c r="I68" s="2" t="s">
        <v>45</v>
      </c>
      <c r="K68" s="2" t="s">
        <v>47</v>
      </c>
      <c r="L68" s="2" t="s">
        <v>47</v>
      </c>
      <c r="M68" t="s">
        <v>576</v>
      </c>
      <c r="N68" s="2" t="s">
        <v>48</v>
      </c>
      <c r="O68" s="2" t="s">
        <v>48</v>
      </c>
      <c r="U68" s="52"/>
      <c r="Z68" s="52"/>
      <c r="AA68" s="2" t="s">
        <v>508</v>
      </c>
      <c r="AB68" s="2" t="s">
        <v>510</v>
      </c>
      <c r="AC68" s="2" t="s">
        <v>509</v>
      </c>
      <c r="AD68" s="4">
        <v>40</v>
      </c>
      <c r="AI68" s="25" t="s">
        <v>452</v>
      </c>
      <c r="AJ68" s="2" t="s">
        <v>50</v>
      </c>
      <c r="AK68" s="14" t="s">
        <v>406</v>
      </c>
      <c r="AL68" s="53" t="s">
        <v>79</v>
      </c>
      <c r="AM68" s="14"/>
      <c r="AN68" s="14"/>
      <c r="AO68" s="14"/>
      <c r="AP68" s="53"/>
      <c r="AQ68" s="14"/>
      <c r="AR68" s="14"/>
      <c r="AS68" s="14"/>
      <c r="AT68" s="53"/>
      <c r="AU68" s="7">
        <v>48.4</v>
      </c>
      <c r="AZ68" s="2" t="s">
        <v>52</v>
      </c>
      <c r="BA68" s="2" t="s">
        <v>53</v>
      </c>
      <c r="BB68" s="2" t="s">
        <v>400</v>
      </c>
      <c r="BC68" s="2" t="s">
        <v>399</v>
      </c>
      <c r="BD68" s="16"/>
      <c r="BE68" s="4">
        <f t="shared" si="3"/>
        <v>1400985337</v>
      </c>
      <c r="BF68" s="17"/>
      <c r="BG68" s="17"/>
      <c r="BH68" s="37"/>
      <c r="BI68" s="17"/>
    </row>
    <row r="69" spans="1:61" ht="15" customHeight="1" x14ac:dyDescent="0.25">
      <c r="A69" s="18" t="s">
        <v>95</v>
      </c>
      <c r="B69" s="25" t="s">
        <v>256</v>
      </c>
      <c r="C69" s="66" t="s">
        <v>257</v>
      </c>
      <c r="D69" s="20" t="s">
        <v>258</v>
      </c>
      <c r="E69" s="17"/>
      <c r="F69" s="15">
        <v>24802</v>
      </c>
      <c r="G69" s="13">
        <f>2026-1967</f>
        <v>59</v>
      </c>
      <c r="H69" s="2" t="s">
        <v>401</v>
      </c>
      <c r="I69" s="2" t="s">
        <v>45</v>
      </c>
      <c r="K69" s="2" t="s">
        <v>47</v>
      </c>
      <c r="L69" s="2" t="s">
        <v>47</v>
      </c>
      <c r="M69" t="s">
        <v>577</v>
      </c>
      <c r="N69" s="2" t="s">
        <v>48</v>
      </c>
      <c r="O69" s="2" t="s">
        <v>48</v>
      </c>
      <c r="U69" s="52"/>
      <c r="Z69" s="52"/>
      <c r="AA69" s="2" t="s">
        <v>508</v>
      </c>
      <c r="AB69" s="2" t="s">
        <v>510</v>
      </c>
      <c r="AC69" s="2" t="s">
        <v>509</v>
      </c>
      <c r="AD69" s="4">
        <v>40</v>
      </c>
      <c r="AI69" s="25" t="s">
        <v>255</v>
      </c>
      <c r="AJ69" s="2" t="s">
        <v>50</v>
      </c>
      <c r="AK69" s="14" t="s">
        <v>419</v>
      </c>
      <c r="AL69" s="53" t="s">
        <v>427</v>
      </c>
      <c r="AM69" s="14" t="s">
        <v>232</v>
      </c>
      <c r="AN69" s="2" t="s">
        <v>50</v>
      </c>
      <c r="AO69" s="14" t="s">
        <v>418</v>
      </c>
      <c r="AP69" s="53" t="s">
        <v>233</v>
      </c>
      <c r="AR69" s="14"/>
      <c r="AS69" s="14"/>
      <c r="AT69" s="52"/>
      <c r="AU69" s="7">
        <v>48.4</v>
      </c>
      <c r="AZ69" s="2" t="s">
        <v>52</v>
      </c>
      <c r="BA69" s="2" t="s">
        <v>53</v>
      </c>
      <c r="BB69" s="2" t="s">
        <v>400</v>
      </c>
      <c r="BC69" s="2" t="s">
        <v>399</v>
      </c>
      <c r="BD69" s="16"/>
      <c r="BE69" s="4" t="str">
        <f t="shared" si="3"/>
        <v>0102617438</v>
      </c>
      <c r="BF69" s="17"/>
      <c r="BG69" s="17"/>
      <c r="BH69" s="37"/>
      <c r="BI69" s="17"/>
    </row>
    <row r="70" spans="1:61" ht="15" customHeight="1" x14ac:dyDescent="0.25">
      <c r="A70" s="18" t="s">
        <v>227</v>
      </c>
      <c r="B70" s="25" t="s">
        <v>259</v>
      </c>
      <c r="C70" s="66" t="s">
        <v>260</v>
      </c>
      <c r="D70" s="21" t="s">
        <v>261</v>
      </c>
      <c r="E70" s="17"/>
      <c r="F70" s="15">
        <v>31621</v>
      </c>
      <c r="G70" s="13">
        <f>2026-1986</f>
        <v>40</v>
      </c>
      <c r="H70" s="2" t="s">
        <v>401</v>
      </c>
      <c r="I70" s="2" t="s">
        <v>45</v>
      </c>
      <c r="K70" s="2" t="s">
        <v>47</v>
      </c>
      <c r="L70" s="2" t="s">
        <v>47</v>
      </c>
      <c r="M70" t="s">
        <v>578</v>
      </c>
      <c r="N70" s="2" t="s">
        <v>48</v>
      </c>
      <c r="O70" s="2" t="s">
        <v>48</v>
      </c>
      <c r="U70" s="52"/>
      <c r="Z70" s="52"/>
      <c r="AA70" s="2" t="s">
        <v>508</v>
      </c>
      <c r="AB70" s="2" t="s">
        <v>510</v>
      </c>
      <c r="AC70" s="2" t="s">
        <v>509</v>
      </c>
      <c r="AD70" s="4">
        <v>40</v>
      </c>
      <c r="AI70" s="25" t="s">
        <v>251</v>
      </c>
      <c r="AJ70" s="2" t="s">
        <v>50</v>
      </c>
      <c r="AK70" s="14" t="s">
        <v>418</v>
      </c>
      <c r="AL70" s="53" t="s">
        <v>86</v>
      </c>
      <c r="AM70" s="14" t="s">
        <v>225</v>
      </c>
      <c r="AN70" s="2" t="s">
        <v>50</v>
      </c>
      <c r="AO70" s="14" t="s">
        <v>425</v>
      </c>
      <c r="AP70" s="53" t="s">
        <v>262</v>
      </c>
      <c r="AQ70" s="14" t="s">
        <v>263</v>
      </c>
      <c r="AR70" s="14" t="s">
        <v>402</v>
      </c>
      <c r="AS70" s="14" t="s">
        <v>424</v>
      </c>
      <c r="AT70" s="53" t="s">
        <v>264</v>
      </c>
      <c r="AU70" s="7">
        <v>48.4</v>
      </c>
      <c r="AZ70" s="2" t="s">
        <v>52</v>
      </c>
      <c r="BA70" s="2" t="s">
        <v>53</v>
      </c>
      <c r="BB70" s="2" t="s">
        <v>400</v>
      </c>
      <c r="BC70" s="2" t="s">
        <v>399</v>
      </c>
      <c r="BD70" s="16"/>
      <c r="BE70" s="4" t="str">
        <f t="shared" si="3"/>
        <v>0104121827</v>
      </c>
      <c r="BF70" s="17"/>
      <c r="BG70" s="17"/>
      <c r="BH70" s="37"/>
      <c r="BI70" s="17"/>
    </row>
    <row r="71" spans="1:61" ht="15" customHeight="1" x14ac:dyDescent="0.25">
      <c r="A71" s="18" t="s">
        <v>95</v>
      </c>
      <c r="B71" s="25" t="s">
        <v>265</v>
      </c>
      <c r="C71" s="66" t="s">
        <v>266</v>
      </c>
      <c r="D71" s="19">
        <v>1400687370</v>
      </c>
      <c r="E71" s="17"/>
      <c r="F71" s="15">
        <v>34923</v>
      </c>
      <c r="G71" s="13">
        <f>2026-1995</f>
        <v>31</v>
      </c>
      <c r="H71" s="2" t="s">
        <v>401</v>
      </c>
      <c r="I71" s="2" t="s">
        <v>45</v>
      </c>
      <c r="K71" s="2" t="s">
        <v>47</v>
      </c>
      <c r="L71" s="2" t="s">
        <v>47</v>
      </c>
      <c r="M71" t="s">
        <v>579</v>
      </c>
      <c r="N71" s="2" t="s">
        <v>48</v>
      </c>
      <c r="O71" s="2" t="s">
        <v>48</v>
      </c>
      <c r="U71" s="52"/>
      <c r="Z71" s="52"/>
      <c r="AA71" s="2" t="s">
        <v>508</v>
      </c>
      <c r="AB71" s="2" t="s">
        <v>510</v>
      </c>
      <c r="AC71" s="2" t="s">
        <v>509</v>
      </c>
      <c r="AD71" s="4">
        <v>40</v>
      </c>
      <c r="AI71" s="25" t="s">
        <v>91</v>
      </c>
      <c r="AJ71" s="2" t="s">
        <v>50</v>
      </c>
      <c r="AK71" s="14" t="s">
        <v>47</v>
      </c>
      <c r="AL71" s="53" t="s">
        <v>79</v>
      </c>
      <c r="AM71" s="14" t="s">
        <v>246</v>
      </c>
      <c r="AN71" s="2" t="s">
        <v>50</v>
      </c>
      <c r="AO71" s="14" t="s">
        <v>418</v>
      </c>
      <c r="AP71" s="53" t="s">
        <v>267</v>
      </c>
      <c r="AQ71" s="14"/>
      <c r="AR71" s="14"/>
      <c r="AS71" s="14"/>
      <c r="AT71" s="53"/>
      <c r="AU71" s="7">
        <v>48.4</v>
      </c>
      <c r="AZ71" s="2" t="s">
        <v>52</v>
      </c>
      <c r="BA71" s="2" t="s">
        <v>53</v>
      </c>
      <c r="BB71" s="2" t="s">
        <v>400</v>
      </c>
      <c r="BC71" s="2" t="s">
        <v>399</v>
      </c>
      <c r="BD71" s="16"/>
      <c r="BE71" s="4">
        <f t="shared" si="3"/>
        <v>1400687370</v>
      </c>
      <c r="BF71" s="17"/>
      <c r="BG71" s="17"/>
      <c r="BH71" s="37"/>
      <c r="BI71" s="17"/>
    </row>
    <row r="72" spans="1:61" ht="15" customHeight="1" x14ac:dyDescent="0.25">
      <c r="A72" s="18" t="s">
        <v>95</v>
      </c>
      <c r="B72" s="25" t="s">
        <v>268</v>
      </c>
      <c r="C72" s="66" t="s">
        <v>269</v>
      </c>
      <c r="D72" s="20" t="s">
        <v>270</v>
      </c>
      <c r="E72" s="17"/>
      <c r="F72" s="15">
        <v>32954</v>
      </c>
      <c r="G72" s="13">
        <f>2026-1990</f>
        <v>36</v>
      </c>
      <c r="H72" s="2" t="s">
        <v>401</v>
      </c>
      <c r="I72" s="2" t="s">
        <v>45</v>
      </c>
      <c r="K72" s="2" t="s">
        <v>47</v>
      </c>
      <c r="L72" s="2" t="s">
        <v>47</v>
      </c>
      <c r="M72" t="s">
        <v>580</v>
      </c>
      <c r="N72" s="2" t="s">
        <v>48</v>
      </c>
      <c r="O72" s="2" t="s">
        <v>48</v>
      </c>
      <c r="U72" s="52"/>
      <c r="Z72" s="52"/>
      <c r="AA72" s="2" t="s">
        <v>508</v>
      </c>
      <c r="AB72" s="2" t="s">
        <v>510</v>
      </c>
      <c r="AC72" s="2" t="s">
        <v>509</v>
      </c>
      <c r="AD72" s="4">
        <v>40</v>
      </c>
      <c r="AI72" s="25" t="s">
        <v>179</v>
      </c>
      <c r="AJ72" s="2" t="s">
        <v>50</v>
      </c>
      <c r="AK72" s="14" t="s">
        <v>488</v>
      </c>
      <c r="AL72" s="53" t="s">
        <v>79</v>
      </c>
      <c r="AM72" s="14" t="s">
        <v>271</v>
      </c>
      <c r="AN72" s="2" t="s">
        <v>50</v>
      </c>
      <c r="AO72" s="14" t="s">
        <v>422</v>
      </c>
      <c r="AP72" s="53" t="s">
        <v>272</v>
      </c>
      <c r="AQ72" s="14"/>
      <c r="AR72" s="14"/>
      <c r="AS72" s="14"/>
      <c r="AT72" s="53"/>
      <c r="AU72" s="7">
        <v>48.4</v>
      </c>
      <c r="AZ72" s="2" t="s">
        <v>52</v>
      </c>
      <c r="BA72" s="2" t="s">
        <v>53</v>
      </c>
      <c r="BB72" s="2" t="s">
        <v>400</v>
      </c>
      <c r="BC72" s="2" t="s">
        <v>399</v>
      </c>
      <c r="BD72" s="16"/>
      <c r="BE72" s="4" t="str">
        <f t="shared" si="3"/>
        <v>0704422773</v>
      </c>
      <c r="BF72" s="17"/>
      <c r="BG72" s="17"/>
      <c r="BH72" s="37"/>
      <c r="BI72" s="17"/>
    </row>
    <row r="73" spans="1:61" ht="15" customHeight="1" x14ac:dyDescent="0.25">
      <c r="A73" s="18" t="s">
        <v>95</v>
      </c>
      <c r="B73" s="25" t="s">
        <v>273</v>
      </c>
      <c r="C73" s="66" t="s">
        <v>274</v>
      </c>
      <c r="D73" s="19">
        <v>1601020652</v>
      </c>
      <c r="E73" s="17"/>
      <c r="F73" s="15">
        <v>36174</v>
      </c>
      <c r="G73" s="13">
        <f>2026-1999</f>
        <v>27</v>
      </c>
      <c r="H73" s="2" t="s">
        <v>401</v>
      </c>
      <c r="I73" s="2" t="s">
        <v>45</v>
      </c>
      <c r="K73" s="2" t="s">
        <v>47</v>
      </c>
      <c r="L73" s="2" t="s">
        <v>47</v>
      </c>
      <c r="M73" t="s">
        <v>581</v>
      </c>
      <c r="N73" s="2" t="s">
        <v>48</v>
      </c>
      <c r="O73" s="2" t="s">
        <v>48</v>
      </c>
      <c r="U73" s="52"/>
      <c r="Z73" s="52"/>
      <c r="AA73" s="2" t="s">
        <v>508</v>
      </c>
      <c r="AB73" s="2" t="s">
        <v>510</v>
      </c>
      <c r="AC73" s="2" t="s">
        <v>509</v>
      </c>
      <c r="AD73" s="4">
        <v>40</v>
      </c>
      <c r="AI73" s="25" t="s">
        <v>431</v>
      </c>
      <c r="AJ73" s="2" t="s">
        <v>50</v>
      </c>
      <c r="AK73" s="14" t="s">
        <v>409</v>
      </c>
      <c r="AL73" s="53" t="s">
        <v>83</v>
      </c>
      <c r="AM73" s="14" t="s">
        <v>246</v>
      </c>
      <c r="AN73" s="2" t="s">
        <v>50</v>
      </c>
      <c r="AO73" s="14" t="s">
        <v>418</v>
      </c>
      <c r="AP73" s="53" t="s">
        <v>275</v>
      </c>
      <c r="AT73" s="52"/>
      <c r="AU73" s="7">
        <v>48.4</v>
      </c>
      <c r="AZ73" s="2" t="s">
        <v>52</v>
      </c>
      <c r="BA73" s="2" t="s">
        <v>53</v>
      </c>
      <c r="BB73" s="2" t="s">
        <v>400</v>
      </c>
      <c r="BC73" s="2" t="s">
        <v>399</v>
      </c>
      <c r="BD73" s="16"/>
      <c r="BE73" s="4">
        <f t="shared" si="3"/>
        <v>1601020652</v>
      </c>
      <c r="BF73" s="17"/>
      <c r="BG73" s="17"/>
      <c r="BH73" s="37"/>
      <c r="BI73" s="17"/>
    </row>
    <row r="74" spans="1:61" ht="15" customHeight="1" x14ac:dyDescent="0.25">
      <c r="A74" s="18" t="s">
        <v>95</v>
      </c>
      <c r="B74" s="25" t="s">
        <v>276</v>
      </c>
      <c r="C74" s="66" t="s">
        <v>277</v>
      </c>
      <c r="D74" s="22">
        <v>1718736919</v>
      </c>
      <c r="E74" s="17"/>
      <c r="F74" s="15">
        <v>34280</v>
      </c>
      <c r="G74" s="13">
        <f>2026-1993</f>
        <v>33</v>
      </c>
      <c r="H74" s="2" t="s">
        <v>401</v>
      </c>
      <c r="I74" s="2" t="s">
        <v>45</v>
      </c>
      <c r="K74" s="2" t="s">
        <v>47</v>
      </c>
      <c r="L74" s="2" t="s">
        <v>47</v>
      </c>
      <c r="M74" t="s">
        <v>582</v>
      </c>
      <c r="N74" s="2" t="s">
        <v>48</v>
      </c>
      <c r="O74" s="2" t="s">
        <v>48</v>
      </c>
      <c r="U74" s="52"/>
      <c r="Z74" s="52"/>
      <c r="AA74" s="2" t="s">
        <v>508</v>
      </c>
      <c r="AB74" s="2" t="s">
        <v>510</v>
      </c>
      <c r="AC74" s="2" t="s">
        <v>509</v>
      </c>
      <c r="AD74" s="4">
        <v>40</v>
      </c>
      <c r="AI74" s="25" t="s">
        <v>430</v>
      </c>
      <c r="AJ74" s="2" t="s">
        <v>50</v>
      </c>
      <c r="AK74" s="14" t="s">
        <v>489</v>
      </c>
      <c r="AL74" s="53" t="s">
        <v>429</v>
      </c>
      <c r="AM74" s="14" t="s">
        <v>278</v>
      </c>
      <c r="AN74" s="2" t="s">
        <v>50</v>
      </c>
      <c r="AO74" s="14" t="s">
        <v>426</v>
      </c>
      <c r="AP74" s="53" t="s">
        <v>279</v>
      </c>
      <c r="AQ74" s="14"/>
      <c r="AR74" s="14"/>
      <c r="AS74" s="14"/>
      <c r="AT74" s="53"/>
      <c r="AU74" s="7">
        <v>48.4</v>
      </c>
      <c r="AZ74" s="2" t="s">
        <v>52</v>
      </c>
      <c r="BA74" s="2" t="s">
        <v>53</v>
      </c>
      <c r="BB74" s="2" t="s">
        <v>400</v>
      </c>
      <c r="BC74" s="2" t="s">
        <v>399</v>
      </c>
      <c r="BD74" s="16"/>
      <c r="BE74" s="4">
        <f t="shared" si="3"/>
        <v>1718736919</v>
      </c>
      <c r="BF74" s="17"/>
      <c r="BG74" s="17"/>
      <c r="BH74" s="37"/>
      <c r="BI74" s="17"/>
    </row>
    <row r="75" spans="1:61" ht="15" customHeight="1" x14ac:dyDescent="0.25">
      <c r="A75" s="18" t="s">
        <v>227</v>
      </c>
      <c r="B75" s="25" t="s">
        <v>280</v>
      </c>
      <c r="C75" s="66" t="s">
        <v>281</v>
      </c>
      <c r="D75" s="19" t="s">
        <v>282</v>
      </c>
      <c r="E75" s="17"/>
      <c r="F75" s="15">
        <v>32500</v>
      </c>
      <c r="G75" s="13">
        <f>2026-1988</f>
        <v>38</v>
      </c>
      <c r="H75" s="2" t="s">
        <v>401</v>
      </c>
      <c r="I75" s="2" t="s">
        <v>45</v>
      </c>
      <c r="K75" s="2" t="s">
        <v>47</v>
      </c>
      <c r="L75" s="2" t="s">
        <v>47</v>
      </c>
      <c r="M75" t="s">
        <v>583</v>
      </c>
      <c r="N75" s="2" t="s">
        <v>48</v>
      </c>
      <c r="O75" s="2" t="s">
        <v>48</v>
      </c>
      <c r="U75" s="52"/>
      <c r="Z75" s="52"/>
      <c r="AA75" s="2" t="s">
        <v>508</v>
      </c>
      <c r="AB75" s="2" t="s">
        <v>510</v>
      </c>
      <c r="AC75" s="2" t="s">
        <v>509</v>
      </c>
      <c r="AD75" s="4">
        <v>40</v>
      </c>
      <c r="AE75" s="2"/>
      <c r="AF75" s="2"/>
      <c r="AG75" s="2"/>
      <c r="AI75" s="49"/>
      <c r="AL75" s="52"/>
      <c r="AM75" s="14" t="s">
        <v>271</v>
      </c>
      <c r="AN75" s="2" t="s">
        <v>50</v>
      </c>
      <c r="AO75" s="14" t="s">
        <v>422</v>
      </c>
      <c r="AP75" s="53" t="s">
        <v>283</v>
      </c>
      <c r="AQ75" s="14" t="s">
        <v>263</v>
      </c>
      <c r="AR75" s="14" t="s">
        <v>402</v>
      </c>
      <c r="AS75" s="14" t="s">
        <v>424</v>
      </c>
      <c r="AT75" s="53" t="s">
        <v>284</v>
      </c>
      <c r="AU75" s="7">
        <v>48.4</v>
      </c>
      <c r="AZ75" s="2" t="s">
        <v>52</v>
      </c>
      <c r="BA75" s="2" t="s">
        <v>53</v>
      </c>
      <c r="BB75" s="2" t="s">
        <v>400</v>
      </c>
      <c r="BC75" s="2" t="s">
        <v>399</v>
      </c>
      <c r="BD75" s="16"/>
      <c r="BE75" s="4" t="str">
        <f t="shared" si="3"/>
        <v>0603889452</v>
      </c>
      <c r="BF75" s="17"/>
      <c r="BG75" s="17"/>
      <c r="BH75" s="37"/>
      <c r="BI75" s="17"/>
    </row>
    <row r="76" spans="1:61" ht="15" customHeight="1" x14ac:dyDescent="0.25">
      <c r="A76" s="18" t="s">
        <v>95</v>
      </c>
      <c r="B76" s="25" t="s">
        <v>285</v>
      </c>
      <c r="C76" s="66" t="s">
        <v>286</v>
      </c>
      <c r="D76" s="19" t="s">
        <v>287</v>
      </c>
      <c r="E76" s="17"/>
      <c r="F76" s="15">
        <v>34722</v>
      </c>
      <c r="G76" s="13">
        <f>2026-1995</f>
        <v>31</v>
      </c>
      <c r="H76" s="2" t="s">
        <v>401</v>
      </c>
      <c r="I76" s="2" t="s">
        <v>45</v>
      </c>
      <c r="K76" s="2" t="s">
        <v>47</v>
      </c>
      <c r="L76" s="2" t="s">
        <v>47</v>
      </c>
      <c r="M76" t="s">
        <v>584</v>
      </c>
      <c r="N76" s="2" t="s">
        <v>48</v>
      </c>
      <c r="O76" s="2" t="s">
        <v>48</v>
      </c>
      <c r="U76" s="52"/>
      <c r="Z76" s="52"/>
      <c r="AA76" s="2" t="s">
        <v>508</v>
      </c>
      <c r="AB76" s="2" t="s">
        <v>510</v>
      </c>
      <c r="AC76" s="2" t="s">
        <v>509</v>
      </c>
      <c r="AD76" s="4">
        <v>40</v>
      </c>
      <c r="AI76" s="25" t="s">
        <v>91</v>
      </c>
      <c r="AJ76" s="2" t="s">
        <v>50</v>
      </c>
      <c r="AK76" s="14" t="s">
        <v>47</v>
      </c>
      <c r="AL76" s="14" t="s">
        <v>79</v>
      </c>
      <c r="AM76" s="14" t="s">
        <v>225</v>
      </c>
      <c r="AN76" s="2" t="s">
        <v>50</v>
      </c>
      <c r="AO76" s="14" t="s">
        <v>418</v>
      </c>
      <c r="AP76" s="53" t="s">
        <v>288</v>
      </c>
      <c r="AQ76" s="14"/>
      <c r="AR76" s="14"/>
      <c r="AS76" s="14"/>
      <c r="AT76" s="53"/>
      <c r="AU76" s="7">
        <v>48.4</v>
      </c>
      <c r="AZ76" s="2" t="s">
        <v>52</v>
      </c>
      <c r="BA76" s="2" t="s">
        <v>53</v>
      </c>
      <c r="BB76" s="2" t="s">
        <v>400</v>
      </c>
      <c r="BC76" s="2" t="s">
        <v>399</v>
      </c>
      <c r="BD76" s="16"/>
      <c r="BE76" s="4" t="str">
        <f t="shared" si="3"/>
        <v>1400762397</v>
      </c>
      <c r="BF76" s="17"/>
      <c r="BG76" s="17"/>
      <c r="BH76" s="37"/>
      <c r="BI76" s="17"/>
    </row>
    <row r="77" spans="1:61" ht="15" customHeight="1" x14ac:dyDescent="0.25">
      <c r="A77" s="18" t="s">
        <v>95</v>
      </c>
      <c r="B77" s="25" t="s">
        <v>289</v>
      </c>
      <c r="C77" s="66" t="s">
        <v>290</v>
      </c>
      <c r="D77" s="20" t="s">
        <v>291</v>
      </c>
      <c r="E77" s="17"/>
      <c r="F77" s="15">
        <v>30617</v>
      </c>
      <c r="G77" s="13">
        <f>2026-1983</f>
        <v>43</v>
      </c>
      <c r="H77" s="2" t="s">
        <v>401</v>
      </c>
      <c r="I77" s="2" t="s">
        <v>45</v>
      </c>
      <c r="K77" s="2" t="s">
        <v>47</v>
      </c>
      <c r="L77" s="2" t="s">
        <v>47</v>
      </c>
      <c r="M77" t="s">
        <v>585</v>
      </c>
      <c r="N77" s="2" t="s">
        <v>48</v>
      </c>
      <c r="O77" s="2" t="s">
        <v>48</v>
      </c>
      <c r="U77" s="52"/>
      <c r="Z77" s="52"/>
      <c r="AA77" s="2" t="s">
        <v>508</v>
      </c>
      <c r="AB77" s="2" t="s">
        <v>510</v>
      </c>
      <c r="AC77" s="2" t="s">
        <v>509</v>
      </c>
      <c r="AD77" s="4">
        <v>40</v>
      </c>
      <c r="AI77" s="25" t="s">
        <v>428</v>
      </c>
      <c r="AJ77" s="2" t="s">
        <v>50</v>
      </c>
      <c r="AK77" s="14" t="s">
        <v>418</v>
      </c>
      <c r="AL77" s="53" t="s">
        <v>429</v>
      </c>
      <c r="AM77" s="14" t="s">
        <v>246</v>
      </c>
      <c r="AN77" s="2" t="s">
        <v>50</v>
      </c>
      <c r="AO77" s="14" t="s">
        <v>425</v>
      </c>
      <c r="AP77" s="53" t="s">
        <v>292</v>
      </c>
      <c r="AQ77" s="14"/>
      <c r="AR77" s="14"/>
      <c r="AS77" s="14"/>
      <c r="AT77" s="53"/>
      <c r="AU77" s="7">
        <v>48.4</v>
      </c>
      <c r="AV77" s="14"/>
      <c r="AW77" s="14"/>
      <c r="AX77" s="14"/>
      <c r="AY77" s="14"/>
      <c r="AZ77" s="2" t="s">
        <v>52</v>
      </c>
      <c r="BA77" s="2" t="s">
        <v>53</v>
      </c>
      <c r="BB77" s="2" t="s">
        <v>400</v>
      </c>
      <c r="BC77" s="2" t="s">
        <v>399</v>
      </c>
      <c r="BD77" s="57"/>
      <c r="BE77" s="4" t="str">
        <f t="shared" si="3"/>
        <v>0104516026</v>
      </c>
      <c r="BF77" s="13"/>
      <c r="BG77" s="13"/>
      <c r="BH77" s="37"/>
      <c r="BI77" s="17"/>
    </row>
    <row r="78" spans="1:61" ht="15" customHeight="1" x14ac:dyDescent="0.25">
      <c r="A78" s="18" t="s">
        <v>227</v>
      </c>
      <c r="B78" s="25" t="s">
        <v>293</v>
      </c>
      <c r="C78" s="66" t="s">
        <v>294</v>
      </c>
      <c r="D78" s="19" t="s">
        <v>295</v>
      </c>
      <c r="E78" s="17"/>
      <c r="F78" s="15">
        <v>32243</v>
      </c>
      <c r="G78" s="13">
        <f>2026-1988</f>
        <v>38</v>
      </c>
      <c r="H78" s="2" t="s">
        <v>401</v>
      </c>
      <c r="I78" s="2" t="s">
        <v>45</v>
      </c>
      <c r="K78" s="2" t="s">
        <v>47</v>
      </c>
      <c r="L78" s="2" t="s">
        <v>47</v>
      </c>
      <c r="M78" t="s">
        <v>586</v>
      </c>
      <c r="N78" s="2" t="s">
        <v>48</v>
      </c>
      <c r="O78" s="2" t="s">
        <v>48</v>
      </c>
      <c r="U78" s="52"/>
      <c r="Z78" s="52"/>
      <c r="AA78" s="2" t="s">
        <v>508</v>
      </c>
      <c r="AB78" s="2" t="s">
        <v>510</v>
      </c>
      <c r="AC78" s="2" t="s">
        <v>509</v>
      </c>
      <c r="AD78" s="4">
        <v>40</v>
      </c>
      <c r="AI78" s="54" t="s">
        <v>91</v>
      </c>
      <c r="AJ78" s="2" t="s">
        <v>50</v>
      </c>
      <c r="AK78" s="55" t="s">
        <v>47</v>
      </c>
      <c r="AL78" s="56" t="s">
        <v>79</v>
      </c>
      <c r="AM78" s="14" t="s">
        <v>271</v>
      </c>
      <c r="AN78" s="14" t="s">
        <v>50</v>
      </c>
      <c r="AO78" s="14" t="s">
        <v>422</v>
      </c>
      <c r="AP78" s="53" t="s">
        <v>453</v>
      </c>
      <c r="AQ78" s="14"/>
      <c r="AR78" s="14"/>
      <c r="AS78" s="14"/>
      <c r="AT78" s="53"/>
      <c r="AU78" s="7">
        <v>48.4</v>
      </c>
      <c r="AV78" s="14"/>
      <c r="AW78" s="14"/>
      <c r="AX78" s="14"/>
      <c r="AY78" s="14"/>
      <c r="AZ78" s="2" t="s">
        <v>52</v>
      </c>
      <c r="BA78" s="2" t="s">
        <v>53</v>
      </c>
      <c r="BB78" s="2" t="s">
        <v>400</v>
      </c>
      <c r="BC78" s="2" t="s">
        <v>399</v>
      </c>
      <c r="BD78" s="57"/>
      <c r="BE78" s="4" t="str">
        <f t="shared" si="3"/>
        <v>1400702302</v>
      </c>
      <c r="BF78" s="13"/>
      <c r="BG78" s="13"/>
      <c r="BH78" s="37"/>
      <c r="BI78" s="17"/>
    </row>
    <row r="79" spans="1:61" ht="15" customHeight="1" x14ac:dyDescent="0.25">
      <c r="A79" s="18" t="s">
        <v>95</v>
      </c>
      <c r="B79" s="25" t="s">
        <v>296</v>
      </c>
      <c r="C79" s="66" t="s">
        <v>297</v>
      </c>
      <c r="D79" s="19" t="s">
        <v>298</v>
      </c>
      <c r="E79" s="17"/>
      <c r="F79" s="15">
        <v>34827</v>
      </c>
      <c r="G79" s="13">
        <f>2026-1995</f>
        <v>31</v>
      </c>
      <c r="H79" s="2" t="s">
        <v>401</v>
      </c>
      <c r="I79" s="2" t="s">
        <v>45</v>
      </c>
      <c r="K79" s="2" t="s">
        <v>47</v>
      </c>
      <c r="L79" s="2" t="s">
        <v>47</v>
      </c>
      <c r="M79" t="s">
        <v>587</v>
      </c>
      <c r="N79" s="2" t="s">
        <v>48</v>
      </c>
      <c r="O79" s="2" t="s">
        <v>48</v>
      </c>
      <c r="U79" s="52"/>
      <c r="Z79" s="52"/>
      <c r="AA79" s="2" t="s">
        <v>508</v>
      </c>
      <c r="AB79" s="2" t="s">
        <v>510</v>
      </c>
      <c r="AC79" s="2" t="s">
        <v>509</v>
      </c>
      <c r="AD79" s="4">
        <v>40</v>
      </c>
      <c r="AI79" s="25" t="s">
        <v>432</v>
      </c>
      <c r="AJ79" s="2" t="s">
        <v>50</v>
      </c>
      <c r="AK79" s="14" t="s">
        <v>422</v>
      </c>
      <c r="AL79" s="53" t="s">
        <v>79</v>
      </c>
      <c r="AM79" s="14" t="s">
        <v>246</v>
      </c>
      <c r="AN79" s="14" t="s">
        <v>50</v>
      </c>
      <c r="AO79" s="14" t="s">
        <v>418</v>
      </c>
      <c r="AP79" s="53" t="s">
        <v>233</v>
      </c>
      <c r="AQ79" s="14"/>
      <c r="AR79" s="14"/>
      <c r="AS79" s="14"/>
      <c r="AT79" s="53"/>
      <c r="AU79" s="7">
        <v>48.4</v>
      </c>
      <c r="AV79" s="14"/>
      <c r="AW79" s="14"/>
      <c r="AX79" s="14"/>
      <c r="AY79" s="14"/>
      <c r="AZ79" s="2" t="s">
        <v>52</v>
      </c>
      <c r="BA79" s="2" t="s">
        <v>53</v>
      </c>
      <c r="BB79" s="2" t="s">
        <v>400</v>
      </c>
      <c r="BC79" s="2" t="s">
        <v>399</v>
      </c>
      <c r="BD79" s="57"/>
      <c r="BE79" s="4" t="str">
        <f t="shared" si="3"/>
        <v>1401065790</v>
      </c>
      <c r="BF79" s="13"/>
      <c r="BG79" s="13"/>
      <c r="BH79" s="37"/>
      <c r="BI79" s="17"/>
    </row>
    <row r="80" spans="1:61" ht="15" customHeight="1" x14ac:dyDescent="0.25">
      <c r="A80" s="18" t="s">
        <v>227</v>
      </c>
      <c r="B80" s="25" t="s">
        <v>299</v>
      </c>
      <c r="C80" s="66" t="s">
        <v>300</v>
      </c>
      <c r="D80" s="21" t="s">
        <v>301</v>
      </c>
      <c r="E80" s="17"/>
      <c r="F80" s="15">
        <v>27511</v>
      </c>
      <c r="G80" s="13">
        <f>2026-1975</f>
        <v>51</v>
      </c>
      <c r="H80" s="2" t="s">
        <v>401</v>
      </c>
      <c r="I80" s="2" t="s">
        <v>45</v>
      </c>
      <c r="K80" s="2" t="s">
        <v>47</v>
      </c>
      <c r="L80" s="2" t="s">
        <v>47</v>
      </c>
      <c r="M80" t="s">
        <v>588</v>
      </c>
      <c r="N80" s="2" t="s">
        <v>48</v>
      </c>
      <c r="O80" s="2" t="s">
        <v>48</v>
      </c>
      <c r="U80" s="52"/>
      <c r="Z80" s="52"/>
      <c r="AA80" s="2" t="s">
        <v>508</v>
      </c>
      <c r="AB80" s="2" t="s">
        <v>510</v>
      </c>
      <c r="AC80" s="2" t="s">
        <v>509</v>
      </c>
      <c r="AD80" s="4">
        <v>40</v>
      </c>
      <c r="AI80" s="25" t="s">
        <v>433</v>
      </c>
      <c r="AJ80" s="2" t="s">
        <v>50</v>
      </c>
      <c r="AK80" s="14" t="s">
        <v>418</v>
      </c>
      <c r="AL80" s="53" t="s">
        <v>427</v>
      </c>
      <c r="AM80" s="14" t="s">
        <v>232</v>
      </c>
      <c r="AN80" s="14" t="s">
        <v>50</v>
      </c>
      <c r="AO80" s="14" t="s">
        <v>418</v>
      </c>
      <c r="AP80" s="53" t="s">
        <v>454</v>
      </c>
      <c r="AQ80" s="14" t="s">
        <v>455</v>
      </c>
      <c r="AR80" s="14" t="s">
        <v>50</v>
      </c>
      <c r="AS80" s="14" t="s">
        <v>490</v>
      </c>
      <c r="AT80" s="53" t="s">
        <v>456</v>
      </c>
      <c r="AU80" s="7">
        <v>48.4</v>
      </c>
      <c r="AV80" s="14"/>
      <c r="AW80" s="14"/>
      <c r="AX80" s="14"/>
      <c r="AY80" s="14"/>
      <c r="AZ80" s="2" t="s">
        <v>52</v>
      </c>
      <c r="BA80" s="2" t="s">
        <v>53</v>
      </c>
      <c r="BB80" s="2" t="s">
        <v>400</v>
      </c>
      <c r="BC80" s="2" t="s">
        <v>399</v>
      </c>
      <c r="BD80" s="57"/>
      <c r="BE80" s="4" t="str">
        <f t="shared" si="3"/>
        <v>0103356408</v>
      </c>
      <c r="BF80" s="13"/>
      <c r="BG80" s="13"/>
      <c r="BH80" s="37"/>
      <c r="BI80" s="17"/>
    </row>
    <row r="81" spans="1:61" ht="15" customHeight="1" x14ac:dyDescent="0.25">
      <c r="A81" s="18" t="s">
        <v>227</v>
      </c>
      <c r="B81" s="25" t="s">
        <v>302</v>
      </c>
      <c r="C81" s="66" t="s">
        <v>303</v>
      </c>
      <c r="D81" s="19" t="s">
        <v>304</v>
      </c>
      <c r="E81" s="17"/>
      <c r="F81" s="15">
        <v>33434</v>
      </c>
      <c r="G81" s="13">
        <f>2026-1991</f>
        <v>35</v>
      </c>
      <c r="H81" s="2" t="s">
        <v>401</v>
      </c>
      <c r="I81" s="2" t="s">
        <v>45</v>
      </c>
      <c r="K81" s="2" t="s">
        <v>47</v>
      </c>
      <c r="L81" s="2" t="s">
        <v>47</v>
      </c>
      <c r="M81" t="s">
        <v>589</v>
      </c>
      <c r="N81" s="2" t="s">
        <v>48</v>
      </c>
      <c r="O81" s="2" t="s">
        <v>48</v>
      </c>
      <c r="U81" s="52"/>
      <c r="Z81" s="52"/>
      <c r="AA81" s="2" t="s">
        <v>508</v>
      </c>
      <c r="AB81" s="2" t="s">
        <v>510</v>
      </c>
      <c r="AC81" s="2" t="s">
        <v>509</v>
      </c>
      <c r="AD81" s="4">
        <v>40</v>
      </c>
      <c r="AE81" s="2"/>
      <c r="AF81" s="2"/>
      <c r="AG81" s="2"/>
      <c r="AI81" s="25"/>
      <c r="AJ81" s="14"/>
      <c r="AK81" s="14"/>
      <c r="AL81" s="53"/>
      <c r="AM81" s="14" t="s">
        <v>457</v>
      </c>
      <c r="AN81" s="14" t="s">
        <v>50</v>
      </c>
      <c r="AO81" s="14" t="s">
        <v>491</v>
      </c>
      <c r="AP81" s="53" t="s">
        <v>233</v>
      </c>
      <c r="AQ81" s="14" t="s">
        <v>246</v>
      </c>
      <c r="AR81" s="14" t="s">
        <v>50</v>
      </c>
      <c r="AS81" s="14" t="s">
        <v>418</v>
      </c>
      <c r="AT81" s="53" t="s">
        <v>247</v>
      </c>
      <c r="AU81" s="7">
        <v>48.4</v>
      </c>
      <c r="AV81" s="14"/>
      <c r="AW81" s="14"/>
      <c r="AX81" s="14"/>
      <c r="AY81" s="14"/>
      <c r="AZ81" s="2" t="s">
        <v>52</v>
      </c>
      <c r="BA81" s="2" t="s">
        <v>53</v>
      </c>
      <c r="BB81" s="2" t="s">
        <v>400</v>
      </c>
      <c r="BC81" s="2" t="s">
        <v>399</v>
      </c>
      <c r="BD81" s="57"/>
      <c r="BE81" s="4" t="str">
        <f t="shared" si="3"/>
        <v>1104892037</v>
      </c>
      <c r="BF81" s="13"/>
      <c r="BG81" s="13"/>
      <c r="BH81" s="37"/>
      <c r="BI81" s="17"/>
    </row>
    <row r="82" spans="1:61" ht="15" customHeight="1" x14ac:dyDescent="0.25">
      <c r="A82" s="18" t="s">
        <v>95</v>
      </c>
      <c r="B82" s="25" t="s">
        <v>305</v>
      </c>
      <c r="C82" s="66" t="s">
        <v>306</v>
      </c>
      <c r="D82" s="21" t="s">
        <v>307</v>
      </c>
      <c r="E82" s="17"/>
      <c r="F82" s="15">
        <v>32917</v>
      </c>
      <c r="G82" s="13">
        <f>2026-1990</f>
        <v>36</v>
      </c>
      <c r="H82" s="2" t="s">
        <v>401</v>
      </c>
      <c r="I82" s="2" t="s">
        <v>45</v>
      </c>
      <c r="K82" s="2" t="s">
        <v>47</v>
      </c>
      <c r="L82" s="2" t="s">
        <v>47</v>
      </c>
      <c r="M82" t="s">
        <v>590</v>
      </c>
      <c r="N82" s="2" t="s">
        <v>48</v>
      </c>
      <c r="O82" s="2" t="s">
        <v>48</v>
      </c>
      <c r="U82" s="52"/>
      <c r="Z82" s="52"/>
      <c r="AA82" s="2" t="s">
        <v>508</v>
      </c>
      <c r="AB82" s="2" t="s">
        <v>510</v>
      </c>
      <c r="AC82" s="2" t="s">
        <v>509</v>
      </c>
      <c r="AD82" s="4">
        <v>40</v>
      </c>
      <c r="AE82" s="2"/>
      <c r="AF82" s="2"/>
      <c r="AG82" s="2"/>
      <c r="AI82" s="25"/>
      <c r="AJ82" s="14"/>
      <c r="AK82" s="14"/>
      <c r="AL82" s="53"/>
      <c r="AM82" s="14" t="s">
        <v>458</v>
      </c>
      <c r="AN82" s="14" t="s">
        <v>50</v>
      </c>
      <c r="AO82" s="14" t="s">
        <v>488</v>
      </c>
      <c r="AP82" s="53" t="s">
        <v>459</v>
      </c>
      <c r="AQ82" s="14"/>
      <c r="AR82" s="14"/>
      <c r="AS82" s="14"/>
      <c r="AT82" s="53"/>
      <c r="AU82" s="7">
        <v>48.4</v>
      </c>
      <c r="AV82" s="14"/>
      <c r="AW82" s="14"/>
      <c r="AX82" s="14"/>
      <c r="AY82" s="14"/>
      <c r="AZ82" s="2" t="s">
        <v>52</v>
      </c>
      <c r="BA82" s="2" t="s">
        <v>53</v>
      </c>
      <c r="BB82" s="2" t="s">
        <v>400</v>
      </c>
      <c r="BC82" s="2" t="s">
        <v>399</v>
      </c>
      <c r="BD82" s="57"/>
      <c r="BE82" s="4" t="str">
        <f t="shared" si="3"/>
        <v>1600462590</v>
      </c>
      <c r="BF82" s="13"/>
      <c r="BG82" s="13"/>
      <c r="BH82" s="37"/>
      <c r="BI82" s="17"/>
    </row>
    <row r="83" spans="1:61" ht="15" customHeight="1" x14ac:dyDescent="0.25">
      <c r="A83" s="18" t="s">
        <v>95</v>
      </c>
      <c r="B83" s="25" t="s">
        <v>308</v>
      </c>
      <c r="C83" s="66" t="s">
        <v>309</v>
      </c>
      <c r="D83" s="19" t="s">
        <v>310</v>
      </c>
      <c r="E83" s="17"/>
      <c r="F83" s="15">
        <v>30700</v>
      </c>
      <c r="G83" s="13">
        <f>2026-1984</f>
        <v>42</v>
      </c>
      <c r="H83" s="2" t="s">
        <v>401</v>
      </c>
      <c r="I83" s="2" t="s">
        <v>45</v>
      </c>
      <c r="K83" s="2" t="s">
        <v>47</v>
      </c>
      <c r="L83" s="2" t="s">
        <v>47</v>
      </c>
      <c r="M83" t="s">
        <v>591</v>
      </c>
      <c r="N83" s="2" t="s">
        <v>48</v>
      </c>
      <c r="O83" s="2" t="s">
        <v>48</v>
      </c>
      <c r="U83" s="52"/>
      <c r="Z83" s="52"/>
      <c r="AA83" s="2" t="s">
        <v>508</v>
      </c>
      <c r="AB83" s="2" t="s">
        <v>510</v>
      </c>
      <c r="AC83" s="2" t="s">
        <v>509</v>
      </c>
      <c r="AD83" s="4">
        <v>40</v>
      </c>
      <c r="AI83" s="25" t="s">
        <v>91</v>
      </c>
      <c r="AJ83" s="2" t="s">
        <v>50</v>
      </c>
      <c r="AK83" s="14" t="s">
        <v>47</v>
      </c>
      <c r="AL83" s="53" t="s">
        <v>79</v>
      </c>
      <c r="AM83" s="14" t="s">
        <v>460</v>
      </c>
      <c r="AN83" s="14" t="s">
        <v>50</v>
      </c>
      <c r="AO83" s="14" t="s">
        <v>490</v>
      </c>
      <c r="AP83" s="53" t="s">
        <v>233</v>
      </c>
      <c r="AQ83" s="14"/>
      <c r="AR83" s="14"/>
      <c r="AS83" s="14"/>
      <c r="AT83" s="53"/>
      <c r="AU83" s="7">
        <v>48.4</v>
      </c>
      <c r="AV83" s="14"/>
      <c r="AW83" s="14"/>
      <c r="AX83" s="14"/>
      <c r="AY83" s="14"/>
      <c r="AZ83" s="2" t="s">
        <v>52</v>
      </c>
      <c r="BA83" s="2" t="s">
        <v>53</v>
      </c>
      <c r="BB83" s="2" t="s">
        <v>400</v>
      </c>
      <c r="BC83" s="2" t="s">
        <v>399</v>
      </c>
      <c r="BD83" s="57"/>
      <c r="BE83" s="4" t="str">
        <f t="shared" si="3"/>
        <v>1400567200</v>
      </c>
      <c r="BF83" s="13"/>
      <c r="BG83" s="13"/>
      <c r="BH83" s="37"/>
      <c r="BI83" s="17"/>
    </row>
    <row r="84" spans="1:61" ht="15" customHeight="1" x14ac:dyDescent="0.25">
      <c r="A84" s="18" t="s">
        <v>227</v>
      </c>
      <c r="B84" s="25" t="s">
        <v>311</v>
      </c>
      <c r="C84" s="66" t="s">
        <v>312</v>
      </c>
      <c r="D84" s="19" t="s">
        <v>313</v>
      </c>
      <c r="E84" s="17"/>
      <c r="F84" s="15">
        <v>36363</v>
      </c>
      <c r="G84" s="13">
        <f>2026-1999</f>
        <v>27</v>
      </c>
      <c r="H84" s="2" t="s">
        <v>401</v>
      </c>
      <c r="I84" s="2" t="s">
        <v>45</v>
      </c>
      <c r="K84" s="2" t="s">
        <v>47</v>
      </c>
      <c r="L84" s="2" t="s">
        <v>47</v>
      </c>
      <c r="M84" t="s">
        <v>592</v>
      </c>
      <c r="N84" s="2" t="s">
        <v>48</v>
      </c>
      <c r="O84" s="2" t="s">
        <v>48</v>
      </c>
      <c r="U84" s="52"/>
      <c r="Z84" s="52"/>
      <c r="AA84" s="2" t="s">
        <v>508</v>
      </c>
      <c r="AB84" s="2" t="s">
        <v>510</v>
      </c>
      <c r="AC84" s="2" t="s">
        <v>509</v>
      </c>
      <c r="AD84" s="4">
        <v>40</v>
      </c>
      <c r="AI84" s="25" t="s">
        <v>434</v>
      </c>
      <c r="AJ84" s="2" t="s">
        <v>50</v>
      </c>
      <c r="AK84" s="14" t="s">
        <v>47</v>
      </c>
      <c r="AL84" s="53" t="s">
        <v>79</v>
      </c>
      <c r="AM84" s="14" t="s">
        <v>244</v>
      </c>
      <c r="AN84" s="14" t="s">
        <v>50</v>
      </c>
      <c r="AO84" s="14" t="s">
        <v>418</v>
      </c>
      <c r="AP84" s="53" t="s">
        <v>461</v>
      </c>
      <c r="AQ84" s="14" t="s">
        <v>263</v>
      </c>
      <c r="AR84" s="14" t="s">
        <v>402</v>
      </c>
      <c r="AS84" s="14" t="s">
        <v>424</v>
      </c>
      <c r="AT84" s="53" t="s">
        <v>462</v>
      </c>
      <c r="AU84" s="7">
        <v>48.4</v>
      </c>
      <c r="AV84" s="14"/>
      <c r="AW84" s="14"/>
      <c r="AX84" s="14"/>
      <c r="AY84" s="14"/>
      <c r="AZ84" s="2" t="s">
        <v>52</v>
      </c>
      <c r="BA84" s="2" t="s">
        <v>53</v>
      </c>
      <c r="BB84" s="2" t="s">
        <v>400</v>
      </c>
      <c r="BC84" s="2" t="s">
        <v>399</v>
      </c>
      <c r="BD84" s="57"/>
      <c r="BE84" s="4" t="str">
        <f t="shared" si="3"/>
        <v>1400714851</v>
      </c>
      <c r="BF84" s="13"/>
      <c r="BG84" s="13"/>
      <c r="BH84" s="37"/>
      <c r="BI84" s="17"/>
    </row>
    <row r="85" spans="1:61" ht="15" customHeight="1" x14ac:dyDescent="0.25">
      <c r="A85" s="18" t="s">
        <v>95</v>
      </c>
      <c r="B85" s="25" t="s">
        <v>314</v>
      </c>
      <c r="C85" s="66" t="s">
        <v>315</v>
      </c>
      <c r="D85" s="19">
        <v>1400968879</v>
      </c>
      <c r="E85" s="17"/>
      <c r="F85" s="15">
        <v>33082</v>
      </c>
      <c r="G85" s="13">
        <f>2026-1990</f>
        <v>36</v>
      </c>
      <c r="H85" s="2" t="s">
        <v>401</v>
      </c>
      <c r="I85" s="2" t="s">
        <v>45</v>
      </c>
      <c r="K85" s="2" t="s">
        <v>47</v>
      </c>
      <c r="L85" s="2" t="s">
        <v>47</v>
      </c>
      <c r="M85" t="s">
        <v>593</v>
      </c>
      <c r="N85" s="2" t="s">
        <v>48</v>
      </c>
      <c r="O85" s="2" t="s">
        <v>48</v>
      </c>
      <c r="U85" s="52"/>
      <c r="Z85" s="52"/>
      <c r="AA85" s="2" t="s">
        <v>508</v>
      </c>
      <c r="AB85" s="2" t="s">
        <v>510</v>
      </c>
      <c r="AC85" s="2" t="s">
        <v>509</v>
      </c>
      <c r="AD85" s="4">
        <v>40</v>
      </c>
      <c r="AI85" s="25" t="s">
        <v>111</v>
      </c>
      <c r="AJ85" s="2" t="s">
        <v>50</v>
      </c>
      <c r="AK85" s="14" t="s">
        <v>406</v>
      </c>
      <c r="AL85" s="53" t="s">
        <v>79</v>
      </c>
      <c r="AM85" s="14" t="s">
        <v>463</v>
      </c>
      <c r="AN85" s="14" t="s">
        <v>50</v>
      </c>
      <c r="AO85" s="14" t="s">
        <v>487</v>
      </c>
      <c r="AP85" s="53" t="s">
        <v>233</v>
      </c>
      <c r="AQ85" s="14"/>
      <c r="AR85" s="14"/>
      <c r="AS85" s="14"/>
      <c r="AT85" s="53"/>
      <c r="AU85" s="7">
        <v>48.4</v>
      </c>
      <c r="AV85" s="14"/>
      <c r="AW85" s="14"/>
      <c r="AX85" s="14"/>
      <c r="AY85" s="14"/>
      <c r="AZ85" s="2" t="s">
        <v>52</v>
      </c>
      <c r="BA85" s="2" t="s">
        <v>53</v>
      </c>
      <c r="BB85" s="2" t="s">
        <v>400</v>
      </c>
      <c r="BC85" s="2" t="s">
        <v>399</v>
      </c>
      <c r="BD85" s="57"/>
      <c r="BE85" s="4">
        <f t="shared" si="3"/>
        <v>1400968879</v>
      </c>
      <c r="BF85" s="13"/>
      <c r="BG85" s="13"/>
      <c r="BH85" s="37"/>
      <c r="BI85" s="17"/>
    </row>
    <row r="86" spans="1:61" ht="15" customHeight="1" x14ac:dyDescent="0.25">
      <c r="A86" s="18" t="s">
        <v>95</v>
      </c>
      <c r="B86" s="25" t="s">
        <v>316</v>
      </c>
      <c r="C86" s="66" t="s">
        <v>317</v>
      </c>
      <c r="D86" s="19" t="s">
        <v>318</v>
      </c>
      <c r="E86" s="17"/>
      <c r="F86" s="15">
        <v>35705</v>
      </c>
      <c r="G86" s="13">
        <f>2026-1997</f>
        <v>29</v>
      </c>
      <c r="H86" s="2" t="s">
        <v>401</v>
      </c>
      <c r="I86" s="2" t="s">
        <v>45</v>
      </c>
      <c r="K86" s="2" t="s">
        <v>47</v>
      </c>
      <c r="L86" s="2" t="s">
        <v>47</v>
      </c>
      <c r="M86" t="s">
        <v>594</v>
      </c>
      <c r="N86" s="2" t="s">
        <v>48</v>
      </c>
      <c r="O86" s="2" t="s">
        <v>48</v>
      </c>
      <c r="U86" s="52"/>
      <c r="Z86" s="52"/>
      <c r="AA86" s="2" t="s">
        <v>508</v>
      </c>
      <c r="AB86" s="2" t="s">
        <v>510</v>
      </c>
      <c r="AC86" s="2" t="s">
        <v>509</v>
      </c>
      <c r="AD86" s="4">
        <v>40</v>
      </c>
      <c r="AI86" s="25" t="s">
        <v>434</v>
      </c>
      <c r="AJ86" s="2" t="s">
        <v>50</v>
      </c>
      <c r="AK86" s="14" t="s">
        <v>47</v>
      </c>
      <c r="AL86" s="53" t="s">
        <v>79</v>
      </c>
      <c r="AM86" s="14" t="s">
        <v>246</v>
      </c>
      <c r="AN86" s="14" t="s">
        <v>50</v>
      </c>
      <c r="AO86" s="14" t="s">
        <v>418</v>
      </c>
      <c r="AP86" s="53" t="s">
        <v>233</v>
      </c>
      <c r="AQ86" s="14"/>
      <c r="AR86" s="14"/>
      <c r="AS86" s="14"/>
      <c r="AT86" s="53"/>
      <c r="AU86" s="7">
        <v>48.4</v>
      </c>
      <c r="AV86" s="14"/>
      <c r="AW86" s="14"/>
      <c r="AX86" s="14"/>
      <c r="AY86" s="14"/>
      <c r="AZ86" s="2" t="s">
        <v>52</v>
      </c>
      <c r="BA86" s="2" t="s">
        <v>53</v>
      </c>
      <c r="BB86" s="2" t="s">
        <v>400</v>
      </c>
      <c r="BC86" s="2" t="s">
        <v>399</v>
      </c>
      <c r="BD86" s="57"/>
      <c r="BE86" s="4" t="str">
        <f t="shared" si="3"/>
        <v>1400733810</v>
      </c>
      <c r="BF86" s="13"/>
      <c r="BG86" s="13"/>
      <c r="BH86" s="37"/>
      <c r="BI86" s="17"/>
    </row>
    <row r="87" spans="1:61" ht="15" customHeight="1" x14ac:dyDescent="0.25">
      <c r="A87" s="18" t="s">
        <v>95</v>
      </c>
      <c r="B87" s="25" t="s">
        <v>319</v>
      </c>
      <c r="C87" s="66" t="s">
        <v>320</v>
      </c>
      <c r="D87" s="19" t="s">
        <v>321</v>
      </c>
      <c r="E87" s="17"/>
      <c r="F87" s="15">
        <v>30147</v>
      </c>
      <c r="G87" s="13">
        <f>2026-1982</f>
        <v>44</v>
      </c>
      <c r="H87" s="2" t="s">
        <v>401</v>
      </c>
      <c r="I87" s="2" t="s">
        <v>45</v>
      </c>
      <c r="K87" s="2" t="s">
        <v>47</v>
      </c>
      <c r="L87" s="2" t="s">
        <v>47</v>
      </c>
      <c r="M87" t="s">
        <v>595</v>
      </c>
      <c r="N87" s="2" t="s">
        <v>48</v>
      </c>
      <c r="O87" s="2" t="s">
        <v>48</v>
      </c>
      <c r="U87" s="52"/>
      <c r="Z87" s="52"/>
      <c r="AA87" s="2" t="s">
        <v>508</v>
      </c>
      <c r="AB87" s="2" t="s">
        <v>510</v>
      </c>
      <c r="AC87" s="2" t="s">
        <v>509</v>
      </c>
      <c r="AD87" s="4">
        <v>40</v>
      </c>
      <c r="AI87" s="25" t="s">
        <v>435</v>
      </c>
      <c r="AJ87" s="2" t="s">
        <v>50</v>
      </c>
      <c r="AK87" s="14" t="s">
        <v>496</v>
      </c>
      <c r="AL87" s="53" t="s">
        <v>436</v>
      </c>
      <c r="AM87" s="14" t="s">
        <v>464</v>
      </c>
      <c r="AN87" s="14" t="s">
        <v>50</v>
      </c>
      <c r="AO87" s="14" t="s">
        <v>421</v>
      </c>
      <c r="AP87" s="53" t="s">
        <v>465</v>
      </c>
      <c r="AQ87" s="14"/>
      <c r="AR87" s="14"/>
      <c r="AS87" s="14"/>
      <c r="AT87" s="53"/>
      <c r="AU87" s="7">
        <v>48.4</v>
      </c>
      <c r="AV87" s="14"/>
      <c r="AW87" s="14"/>
      <c r="AX87" s="14"/>
      <c r="AY87" s="14"/>
      <c r="AZ87" s="2" t="s">
        <v>52</v>
      </c>
      <c r="BA87" s="2" t="s">
        <v>53</v>
      </c>
      <c r="BB87" s="2" t="s">
        <v>400</v>
      </c>
      <c r="BC87" s="2" t="s">
        <v>399</v>
      </c>
      <c r="BD87" s="57"/>
      <c r="BE87" s="4" t="str">
        <f t="shared" si="3"/>
        <v>0301713723</v>
      </c>
      <c r="BF87" s="13"/>
      <c r="BG87" s="13"/>
      <c r="BH87" s="37"/>
      <c r="BI87" s="17"/>
    </row>
    <row r="88" spans="1:61" ht="15" customHeight="1" x14ac:dyDescent="0.25">
      <c r="A88" s="13"/>
      <c r="B88" s="25" t="s">
        <v>322</v>
      </c>
      <c r="C88" s="66" t="s">
        <v>323</v>
      </c>
      <c r="D88" s="22">
        <v>1400702070</v>
      </c>
      <c r="E88" s="17"/>
      <c r="F88" s="15">
        <v>33596</v>
      </c>
      <c r="G88" s="13">
        <f>2026-1991</f>
        <v>35</v>
      </c>
      <c r="H88" s="2" t="s">
        <v>401</v>
      </c>
      <c r="I88" s="2" t="s">
        <v>45</v>
      </c>
      <c r="K88" s="2" t="s">
        <v>47</v>
      </c>
      <c r="L88" s="2" t="s">
        <v>47</v>
      </c>
      <c r="M88" t="s">
        <v>596</v>
      </c>
      <c r="N88" s="2" t="s">
        <v>48</v>
      </c>
      <c r="O88" s="2" t="s">
        <v>48</v>
      </c>
      <c r="U88" s="52"/>
      <c r="Z88" s="52"/>
      <c r="AA88" s="2" t="s">
        <v>508</v>
      </c>
      <c r="AB88" s="2" t="s">
        <v>510</v>
      </c>
      <c r="AC88" s="2" t="s">
        <v>509</v>
      </c>
      <c r="AD88" s="4">
        <v>40</v>
      </c>
      <c r="AI88" s="25" t="s">
        <v>437</v>
      </c>
      <c r="AJ88" s="2" t="s">
        <v>50</v>
      </c>
      <c r="AK88" s="14" t="s">
        <v>497</v>
      </c>
      <c r="AL88" s="53" t="s">
        <v>79</v>
      </c>
      <c r="AM88" s="14"/>
      <c r="AN88" s="14"/>
      <c r="AO88" s="14"/>
      <c r="AP88" s="53"/>
      <c r="AQ88" s="14"/>
      <c r="AR88" s="14"/>
      <c r="AS88" s="14"/>
      <c r="AT88" s="53"/>
      <c r="AU88" s="7">
        <v>48.4</v>
      </c>
      <c r="AV88" s="14"/>
      <c r="AW88" s="14"/>
      <c r="AX88" s="14"/>
      <c r="AY88" s="14"/>
      <c r="AZ88" s="2" t="s">
        <v>52</v>
      </c>
      <c r="BA88" s="2" t="s">
        <v>53</v>
      </c>
      <c r="BB88" s="2" t="s">
        <v>400</v>
      </c>
      <c r="BC88" s="2" t="s">
        <v>399</v>
      </c>
      <c r="BD88" s="57"/>
      <c r="BE88" s="4">
        <f t="shared" si="3"/>
        <v>1400702070</v>
      </c>
      <c r="BF88" s="13"/>
      <c r="BG88" s="13"/>
      <c r="BH88" s="37"/>
      <c r="BI88" s="17"/>
    </row>
    <row r="89" spans="1:61" ht="15" customHeight="1" x14ac:dyDescent="0.25">
      <c r="A89" s="13"/>
      <c r="B89" s="25" t="s">
        <v>324</v>
      </c>
      <c r="C89" s="66" t="s">
        <v>325</v>
      </c>
      <c r="D89" s="20">
        <v>1400965602</v>
      </c>
      <c r="E89" s="17"/>
      <c r="F89" s="15">
        <v>35305</v>
      </c>
      <c r="G89" s="13">
        <f>2026-1996</f>
        <v>30</v>
      </c>
      <c r="H89" s="2" t="s">
        <v>401</v>
      </c>
      <c r="I89" s="2" t="s">
        <v>45</v>
      </c>
      <c r="K89" s="2" t="s">
        <v>47</v>
      </c>
      <c r="L89" s="2" t="s">
        <v>47</v>
      </c>
      <c r="M89" t="s">
        <v>597</v>
      </c>
      <c r="N89" s="2" t="s">
        <v>48</v>
      </c>
      <c r="O89" s="2" t="s">
        <v>48</v>
      </c>
      <c r="U89" s="52"/>
      <c r="Z89" s="52"/>
      <c r="AA89" s="2" t="s">
        <v>508</v>
      </c>
      <c r="AB89" s="2" t="s">
        <v>510</v>
      </c>
      <c r="AC89" s="2" t="s">
        <v>509</v>
      </c>
      <c r="AD89" s="4">
        <v>40</v>
      </c>
      <c r="AI89" s="25" t="s">
        <v>439</v>
      </c>
      <c r="AJ89" s="2" t="s">
        <v>50</v>
      </c>
      <c r="AK89" s="14" t="s">
        <v>498</v>
      </c>
      <c r="AL89" s="53" t="s">
        <v>79</v>
      </c>
      <c r="AM89" s="14"/>
      <c r="AN89" s="14"/>
      <c r="AO89" s="14"/>
      <c r="AP89" s="53"/>
      <c r="AQ89" s="14"/>
      <c r="AR89" s="14"/>
      <c r="AS89" s="14"/>
      <c r="AT89" s="53"/>
      <c r="AU89" s="7">
        <v>48.4</v>
      </c>
      <c r="AV89" s="14"/>
      <c r="AW89" s="14"/>
      <c r="AX89" s="14"/>
      <c r="AY89" s="14"/>
      <c r="AZ89" s="2" t="s">
        <v>52</v>
      </c>
      <c r="BA89" s="2" t="s">
        <v>53</v>
      </c>
      <c r="BB89" s="2" t="s">
        <v>400</v>
      </c>
      <c r="BC89" s="2" t="s">
        <v>399</v>
      </c>
      <c r="BD89" s="57"/>
      <c r="BE89" s="4">
        <f t="shared" si="3"/>
        <v>1400965602</v>
      </c>
      <c r="BF89" s="13"/>
      <c r="BG89" s="13"/>
      <c r="BH89" s="37"/>
      <c r="BI89" s="17"/>
    </row>
    <row r="90" spans="1:61" ht="15" customHeight="1" x14ac:dyDescent="0.25">
      <c r="A90" s="18" t="s">
        <v>95</v>
      </c>
      <c r="B90" s="25" t="s">
        <v>326</v>
      </c>
      <c r="C90" s="66" t="s">
        <v>327</v>
      </c>
      <c r="D90" s="20" t="s">
        <v>328</v>
      </c>
      <c r="E90" s="17"/>
      <c r="F90" s="15">
        <v>30861</v>
      </c>
      <c r="G90" s="13">
        <f>2026-1984</f>
        <v>42</v>
      </c>
      <c r="H90" s="2" t="s">
        <v>401</v>
      </c>
      <c r="I90" s="2" t="s">
        <v>45</v>
      </c>
      <c r="K90" s="2" t="s">
        <v>47</v>
      </c>
      <c r="L90" s="2" t="s">
        <v>47</v>
      </c>
      <c r="M90" t="s">
        <v>598</v>
      </c>
      <c r="N90" s="2" t="s">
        <v>48</v>
      </c>
      <c r="O90" s="2" t="s">
        <v>48</v>
      </c>
      <c r="U90" s="52"/>
      <c r="Z90" s="52"/>
      <c r="AA90" s="2" t="s">
        <v>508</v>
      </c>
      <c r="AB90" s="2" t="s">
        <v>510</v>
      </c>
      <c r="AC90" s="2" t="s">
        <v>509</v>
      </c>
      <c r="AD90" s="4">
        <v>40</v>
      </c>
      <c r="AI90" s="25" t="s">
        <v>438</v>
      </c>
      <c r="AJ90" s="2" t="s">
        <v>50</v>
      </c>
      <c r="AK90" s="14" t="s">
        <v>499</v>
      </c>
      <c r="AL90" s="53" t="s">
        <v>436</v>
      </c>
      <c r="AM90" s="14" t="s">
        <v>466</v>
      </c>
      <c r="AN90" s="14" t="s">
        <v>50</v>
      </c>
      <c r="AO90" s="14" t="s">
        <v>492</v>
      </c>
      <c r="AP90" s="53" t="s">
        <v>467</v>
      </c>
      <c r="AQ90" s="14"/>
      <c r="AR90" s="14"/>
      <c r="AS90" s="14"/>
      <c r="AT90" s="53"/>
      <c r="AU90" s="7">
        <v>48.4</v>
      </c>
      <c r="AV90" s="14"/>
      <c r="AW90" s="14"/>
      <c r="AX90" s="14"/>
      <c r="AY90" s="14"/>
      <c r="AZ90" s="2" t="s">
        <v>52</v>
      </c>
      <c r="BA90" s="2" t="s">
        <v>53</v>
      </c>
      <c r="BB90" s="2" t="s">
        <v>400</v>
      </c>
      <c r="BC90" s="2" t="s">
        <v>399</v>
      </c>
      <c r="BD90" s="57"/>
      <c r="BE90" s="4" t="str">
        <f t="shared" si="3"/>
        <v>0704517408</v>
      </c>
      <c r="BF90" s="13"/>
      <c r="BG90" s="13"/>
      <c r="BH90" s="37"/>
      <c r="BI90" s="17"/>
    </row>
    <row r="91" spans="1:61" ht="15" customHeight="1" x14ac:dyDescent="0.25">
      <c r="A91" s="18" t="s">
        <v>95</v>
      </c>
      <c r="B91" s="25" t="s">
        <v>329</v>
      </c>
      <c r="C91" s="66" t="s">
        <v>330</v>
      </c>
      <c r="D91" s="21" t="s">
        <v>331</v>
      </c>
      <c r="E91" s="17"/>
      <c r="F91" s="15">
        <v>31282</v>
      </c>
      <c r="G91" s="13">
        <f>2026-1985</f>
        <v>41</v>
      </c>
      <c r="H91" s="2" t="s">
        <v>401</v>
      </c>
      <c r="I91" s="2" t="s">
        <v>45</v>
      </c>
      <c r="K91" s="2" t="s">
        <v>47</v>
      </c>
      <c r="L91" s="2" t="s">
        <v>47</v>
      </c>
      <c r="M91" t="s">
        <v>599</v>
      </c>
      <c r="N91" s="2" t="s">
        <v>48</v>
      </c>
      <c r="O91" s="2" t="s">
        <v>48</v>
      </c>
      <c r="U91" s="52"/>
      <c r="Z91" s="52"/>
      <c r="AA91" s="2" t="s">
        <v>508</v>
      </c>
      <c r="AB91" s="2" t="s">
        <v>510</v>
      </c>
      <c r="AC91" s="2" t="s">
        <v>509</v>
      </c>
      <c r="AD91" s="4">
        <v>40</v>
      </c>
      <c r="AI91" s="25" t="s">
        <v>91</v>
      </c>
      <c r="AJ91" s="2" t="s">
        <v>50</v>
      </c>
      <c r="AK91" s="14" t="s">
        <v>47</v>
      </c>
      <c r="AL91" s="53" t="s">
        <v>79</v>
      </c>
      <c r="AM91" s="14" t="s">
        <v>271</v>
      </c>
      <c r="AN91" s="14" t="s">
        <v>50</v>
      </c>
      <c r="AO91" s="14" t="s">
        <v>422</v>
      </c>
      <c r="AP91" s="53" t="s">
        <v>453</v>
      </c>
      <c r="AQ91" s="14"/>
      <c r="AR91" s="14"/>
      <c r="AS91" s="14"/>
      <c r="AT91" s="53"/>
      <c r="AU91" s="7">
        <v>48.4</v>
      </c>
      <c r="AV91" s="14"/>
      <c r="AW91" s="14"/>
      <c r="AX91" s="14"/>
      <c r="AY91" s="14"/>
      <c r="AZ91" s="2" t="s">
        <v>52</v>
      </c>
      <c r="BA91" s="2" t="s">
        <v>53</v>
      </c>
      <c r="BB91" s="2" t="s">
        <v>400</v>
      </c>
      <c r="BC91" s="2" t="s">
        <v>399</v>
      </c>
      <c r="BD91" s="57"/>
      <c r="BE91" s="4" t="str">
        <f t="shared" si="3"/>
        <v>1400723472</v>
      </c>
      <c r="BF91" s="13"/>
      <c r="BG91" s="13"/>
      <c r="BH91" s="37"/>
      <c r="BI91" s="17"/>
    </row>
    <row r="92" spans="1:61" ht="15" customHeight="1" x14ac:dyDescent="0.25">
      <c r="A92" s="18" t="s">
        <v>95</v>
      </c>
      <c r="B92" s="25" t="s">
        <v>332</v>
      </c>
      <c r="C92" s="66" t="s">
        <v>333</v>
      </c>
      <c r="D92" s="21" t="s">
        <v>334</v>
      </c>
      <c r="E92" s="17"/>
      <c r="F92" s="15">
        <v>31869</v>
      </c>
      <c r="G92" s="13">
        <f>2026-1987</f>
        <v>39</v>
      </c>
      <c r="H92" s="2" t="s">
        <v>401</v>
      </c>
      <c r="I92" s="2" t="s">
        <v>45</v>
      </c>
      <c r="K92" s="2" t="s">
        <v>47</v>
      </c>
      <c r="L92" s="2" t="s">
        <v>47</v>
      </c>
      <c r="M92" t="s">
        <v>600</v>
      </c>
      <c r="N92" s="2" t="s">
        <v>48</v>
      </c>
      <c r="O92" s="2" t="s">
        <v>48</v>
      </c>
      <c r="U92" s="52"/>
      <c r="Z92" s="52"/>
      <c r="AA92" s="2" t="s">
        <v>508</v>
      </c>
      <c r="AB92" s="2" t="s">
        <v>510</v>
      </c>
      <c r="AC92" s="2" t="s">
        <v>509</v>
      </c>
      <c r="AD92" s="4">
        <v>40</v>
      </c>
      <c r="AI92" s="25" t="s">
        <v>111</v>
      </c>
      <c r="AJ92" s="2" t="s">
        <v>50</v>
      </c>
      <c r="AK92" s="14" t="s">
        <v>406</v>
      </c>
      <c r="AL92" s="53" t="s">
        <v>79</v>
      </c>
      <c r="AM92" s="14" t="s">
        <v>112</v>
      </c>
      <c r="AN92" s="14" t="s">
        <v>50</v>
      </c>
      <c r="AO92" s="14" t="s">
        <v>420</v>
      </c>
      <c r="AP92" s="53" t="s">
        <v>475</v>
      </c>
      <c r="AQ92" s="14"/>
      <c r="AR92" s="14"/>
      <c r="AS92" s="14"/>
      <c r="AT92" s="53"/>
      <c r="AU92" s="7">
        <v>48.4</v>
      </c>
      <c r="AV92" s="14"/>
      <c r="AW92" s="14"/>
      <c r="AX92" s="14"/>
      <c r="AY92" s="14"/>
      <c r="AZ92" s="2" t="s">
        <v>52</v>
      </c>
      <c r="BA92" s="2" t="s">
        <v>53</v>
      </c>
      <c r="BB92" s="2" t="s">
        <v>400</v>
      </c>
      <c r="BC92" s="2" t="s">
        <v>399</v>
      </c>
      <c r="BD92" s="57"/>
      <c r="BE92" s="4" t="str">
        <f t="shared" si="3"/>
        <v>1400777171</v>
      </c>
      <c r="BF92" s="13"/>
      <c r="BG92" s="13"/>
      <c r="BH92" s="37"/>
      <c r="BI92" s="17"/>
    </row>
    <row r="93" spans="1:61" ht="15" customHeight="1" x14ac:dyDescent="0.25">
      <c r="A93" s="18" t="s">
        <v>95</v>
      </c>
      <c r="B93" s="25" t="s">
        <v>335</v>
      </c>
      <c r="C93" s="66" t="s">
        <v>336</v>
      </c>
      <c r="D93" s="21" t="s">
        <v>337</v>
      </c>
      <c r="E93" s="17"/>
      <c r="F93" s="15">
        <v>33003</v>
      </c>
      <c r="G93" s="13">
        <f>2026-1990</f>
        <v>36</v>
      </c>
      <c r="H93" s="2" t="s">
        <v>401</v>
      </c>
      <c r="I93" s="2" t="s">
        <v>45</v>
      </c>
      <c r="K93" s="2" t="s">
        <v>47</v>
      </c>
      <c r="L93" s="2" t="s">
        <v>47</v>
      </c>
      <c r="M93" t="s">
        <v>601</v>
      </c>
      <c r="N93" s="2" t="s">
        <v>48</v>
      </c>
      <c r="O93" s="2" t="s">
        <v>48</v>
      </c>
      <c r="U93" s="52"/>
      <c r="Z93" s="52"/>
      <c r="AA93" s="2" t="s">
        <v>508</v>
      </c>
      <c r="AB93" s="2" t="s">
        <v>510</v>
      </c>
      <c r="AC93" s="2" t="s">
        <v>509</v>
      </c>
      <c r="AD93" s="4">
        <v>40</v>
      </c>
      <c r="AE93" s="2"/>
      <c r="AF93" s="2"/>
      <c r="AG93" s="2"/>
      <c r="AI93" s="25"/>
      <c r="AJ93" s="14"/>
      <c r="AK93" s="14"/>
      <c r="AL93" s="53"/>
      <c r="AM93" s="14" t="s">
        <v>246</v>
      </c>
      <c r="AN93" s="14" t="s">
        <v>50</v>
      </c>
      <c r="AO93" s="14" t="s">
        <v>418</v>
      </c>
      <c r="AP93" s="53" t="s">
        <v>476</v>
      </c>
      <c r="AQ93" s="14"/>
      <c r="AR93" s="14"/>
      <c r="AS93" s="14"/>
      <c r="AT93" s="53"/>
      <c r="AU93" s="7">
        <v>48.4</v>
      </c>
      <c r="AV93" s="14"/>
      <c r="AW93" s="14"/>
      <c r="AX93" s="14"/>
      <c r="AY93" s="14"/>
      <c r="AZ93" s="2" t="s">
        <v>52</v>
      </c>
      <c r="BA93" s="2" t="s">
        <v>53</v>
      </c>
      <c r="BB93" s="2" t="s">
        <v>400</v>
      </c>
      <c r="BC93" s="2" t="s">
        <v>399</v>
      </c>
      <c r="BD93" s="57"/>
      <c r="BE93" s="4" t="str">
        <f t="shared" si="3"/>
        <v>1400968721</v>
      </c>
      <c r="BF93" s="13"/>
      <c r="BG93" s="13"/>
      <c r="BH93" s="37"/>
      <c r="BI93" s="17"/>
    </row>
    <row r="94" spans="1:61" ht="15" customHeight="1" x14ac:dyDescent="0.25">
      <c r="A94" s="18" t="s">
        <v>227</v>
      </c>
      <c r="B94" s="25" t="s">
        <v>338</v>
      </c>
      <c r="C94" s="66" t="s">
        <v>339</v>
      </c>
      <c r="D94" s="22">
        <v>1400831515</v>
      </c>
      <c r="E94" s="17"/>
      <c r="F94" s="15">
        <v>34853</v>
      </c>
      <c r="G94" s="13">
        <f>2026-1995</f>
        <v>31</v>
      </c>
      <c r="H94" s="2" t="s">
        <v>401</v>
      </c>
      <c r="I94" s="2" t="s">
        <v>45</v>
      </c>
      <c r="K94" s="2" t="s">
        <v>47</v>
      </c>
      <c r="L94" s="2" t="s">
        <v>47</v>
      </c>
      <c r="M94" t="s">
        <v>602</v>
      </c>
      <c r="N94" s="2" t="s">
        <v>48</v>
      </c>
      <c r="O94" s="2" t="s">
        <v>48</v>
      </c>
      <c r="U94" s="52"/>
      <c r="Z94" s="52"/>
      <c r="AA94" s="2" t="s">
        <v>508</v>
      </c>
      <c r="AB94" s="2" t="s">
        <v>510</v>
      </c>
      <c r="AC94" s="2" t="s">
        <v>509</v>
      </c>
      <c r="AD94" s="4">
        <v>40</v>
      </c>
      <c r="AI94" s="25" t="s">
        <v>82</v>
      </c>
      <c r="AJ94" s="2" t="s">
        <v>50</v>
      </c>
      <c r="AK94" s="14" t="s">
        <v>47</v>
      </c>
      <c r="AL94" s="53" t="s">
        <v>440</v>
      </c>
      <c r="AM94" s="14" t="s">
        <v>246</v>
      </c>
      <c r="AN94" s="14" t="s">
        <v>50</v>
      </c>
      <c r="AO94" s="14" t="s">
        <v>418</v>
      </c>
      <c r="AP94" s="53" t="s">
        <v>477</v>
      </c>
      <c r="AQ94" s="14" t="s">
        <v>478</v>
      </c>
      <c r="AR94" s="14" t="s">
        <v>50</v>
      </c>
      <c r="AS94" s="14" t="s">
        <v>421</v>
      </c>
      <c r="AT94" s="53" t="s">
        <v>479</v>
      </c>
      <c r="AU94" s="7">
        <v>48.4</v>
      </c>
      <c r="AV94" s="14"/>
      <c r="AW94" s="14"/>
      <c r="AX94" s="14"/>
      <c r="AY94" s="14"/>
      <c r="AZ94" s="2" t="s">
        <v>52</v>
      </c>
      <c r="BA94" s="2" t="s">
        <v>53</v>
      </c>
      <c r="BB94" s="2" t="s">
        <v>400</v>
      </c>
      <c r="BC94" s="2" t="s">
        <v>399</v>
      </c>
      <c r="BD94" s="57"/>
      <c r="BE94" s="4">
        <f t="shared" si="3"/>
        <v>1400831515</v>
      </c>
      <c r="BF94" s="13"/>
      <c r="BG94" s="13"/>
      <c r="BH94" s="37"/>
      <c r="BI94" s="17"/>
    </row>
    <row r="95" spans="1:61" ht="15" customHeight="1" x14ac:dyDescent="0.25">
      <c r="A95" s="13"/>
      <c r="B95" s="25" t="s">
        <v>340</v>
      </c>
      <c r="C95" s="66" t="s">
        <v>341</v>
      </c>
      <c r="D95" s="19" t="s">
        <v>342</v>
      </c>
      <c r="E95" s="17"/>
      <c r="F95" s="15">
        <v>36150</v>
      </c>
      <c r="G95" s="13">
        <f>2026-1998</f>
        <v>28</v>
      </c>
      <c r="H95" s="2" t="s">
        <v>401</v>
      </c>
      <c r="I95" s="2" t="s">
        <v>45</v>
      </c>
      <c r="K95" s="2" t="s">
        <v>47</v>
      </c>
      <c r="L95" s="2" t="s">
        <v>47</v>
      </c>
      <c r="M95" t="s">
        <v>555</v>
      </c>
      <c r="N95" s="2" t="s">
        <v>48</v>
      </c>
      <c r="O95" s="2" t="s">
        <v>48</v>
      </c>
      <c r="U95" s="52"/>
      <c r="Z95" s="52"/>
      <c r="AA95" s="2" t="s">
        <v>508</v>
      </c>
      <c r="AB95" s="2" t="s">
        <v>510</v>
      </c>
      <c r="AC95" s="2" t="s">
        <v>509</v>
      </c>
      <c r="AD95" s="4">
        <v>40</v>
      </c>
      <c r="AI95" s="25" t="s">
        <v>441</v>
      </c>
      <c r="AJ95" s="2" t="s">
        <v>50</v>
      </c>
      <c r="AK95" s="14" t="s">
        <v>47</v>
      </c>
      <c r="AL95" s="53" t="s">
        <v>79</v>
      </c>
      <c r="AM95" s="14"/>
      <c r="AN95" s="14"/>
      <c r="AO95" s="14"/>
      <c r="AP95" s="53"/>
      <c r="AQ95" s="14"/>
      <c r="AR95" s="14"/>
      <c r="AS95" s="14"/>
      <c r="AT95" s="53"/>
      <c r="AU95" s="7">
        <v>48.4</v>
      </c>
      <c r="AV95" s="14"/>
      <c r="AW95" s="14"/>
      <c r="AX95" s="14"/>
      <c r="AY95" s="14"/>
      <c r="AZ95" s="2" t="s">
        <v>52</v>
      </c>
      <c r="BA95" s="2" t="s">
        <v>53</v>
      </c>
      <c r="BB95" s="2" t="s">
        <v>400</v>
      </c>
      <c r="BC95" s="2" t="s">
        <v>399</v>
      </c>
      <c r="BD95" s="57"/>
      <c r="BE95" s="4" t="str">
        <f t="shared" si="3"/>
        <v>1400891352</v>
      </c>
      <c r="BF95" s="13"/>
      <c r="BG95" s="13"/>
      <c r="BH95" s="37"/>
      <c r="BI95" s="17"/>
    </row>
    <row r="96" spans="1:61" ht="15" customHeight="1" x14ac:dyDescent="0.25">
      <c r="A96" s="18" t="s">
        <v>95</v>
      </c>
      <c r="B96" s="25" t="s">
        <v>343</v>
      </c>
      <c r="C96" s="66" t="s">
        <v>344</v>
      </c>
      <c r="D96" s="19" t="s">
        <v>345</v>
      </c>
      <c r="E96" s="17"/>
      <c r="F96" s="15">
        <v>31778</v>
      </c>
      <c r="G96" s="13">
        <f>2026-1987</f>
        <v>39</v>
      </c>
      <c r="H96" s="2" t="s">
        <v>401</v>
      </c>
      <c r="I96" s="2" t="s">
        <v>45</v>
      </c>
      <c r="K96" s="2" t="s">
        <v>47</v>
      </c>
      <c r="L96" s="2" t="s">
        <v>47</v>
      </c>
      <c r="M96" t="s">
        <v>603</v>
      </c>
      <c r="N96" s="2" t="s">
        <v>48</v>
      </c>
      <c r="O96" s="2" t="s">
        <v>48</v>
      </c>
      <c r="U96" s="52"/>
      <c r="Z96" s="52"/>
      <c r="AA96" s="2" t="s">
        <v>508</v>
      </c>
      <c r="AB96" s="2" t="s">
        <v>510</v>
      </c>
      <c r="AC96" s="2" t="s">
        <v>509</v>
      </c>
      <c r="AD96" s="4">
        <v>40</v>
      </c>
      <c r="AE96" s="2"/>
      <c r="AF96" s="2"/>
      <c r="AG96" s="2"/>
      <c r="AI96" s="25"/>
      <c r="AJ96" s="14"/>
      <c r="AK96" s="14"/>
      <c r="AL96" s="53"/>
      <c r="AM96" s="14" t="s">
        <v>225</v>
      </c>
      <c r="AN96" s="14" t="s">
        <v>50</v>
      </c>
      <c r="AO96" s="14" t="s">
        <v>421</v>
      </c>
      <c r="AP96" s="53" t="s">
        <v>480</v>
      </c>
      <c r="AQ96" s="14"/>
      <c r="AR96" s="14"/>
      <c r="AS96" s="14"/>
      <c r="AT96" s="53"/>
      <c r="AU96" s="7">
        <v>48.4</v>
      </c>
      <c r="AV96" s="14"/>
      <c r="AW96" s="14"/>
      <c r="AX96" s="14"/>
      <c r="AY96" s="14"/>
      <c r="AZ96" s="2" t="s">
        <v>52</v>
      </c>
      <c r="BA96" s="2" t="s">
        <v>53</v>
      </c>
      <c r="BB96" s="2" t="s">
        <v>400</v>
      </c>
      <c r="BC96" s="2" t="s">
        <v>399</v>
      </c>
      <c r="BD96" s="57"/>
      <c r="BE96" s="4" t="str">
        <f t="shared" si="3"/>
        <v>1400615439</v>
      </c>
      <c r="BF96" s="13"/>
      <c r="BG96" s="13"/>
      <c r="BH96" s="37"/>
      <c r="BI96" s="17"/>
    </row>
    <row r="97" spans="1:61" ht="15" customHeight="1" x14ac:dyDescent="0.25">
      <c r="A97" s="18" t="s">
        <v>227</v>
      </c>
      <c r="B97" s="25" t="s">
        <v>346</v>
      </c>
      <c r="C97" s="66" t="s">
        <v>347</v>
      </c>
      <c r="D97" s="19">
        <v>1401301955</v>
      </c>
      <c r="E97" s="17"/>
      <c r="F97" s="15">
        <v>34146</v>
      </c>
      <c r="G97" s="13">
        <f>2026-1993</f>
        <v>33</v>
      </c>
      <c r="H97" s="2" t="s">
        <v>401</v>
      </c>
      <c r="I97" s="2" t="s">
        <v>45</v>
      </c>
      <c r="K97" s="2" t="s">
        <v>47</v>
      </c>
      <c r="L97" s="2" t="s">
        <v>47</v>
      </c>
      <c r="M97" t="s">
        <v>604</v>
      </c>
      <c r="N97" s="2" t="s">
        <v>48</v>
      </c>
      <c r="O97" s="2" t="s">
        <v>48</v>
      </c>
      <c r="U97" s="52"/>
      <c r="Z97" s="52"/>
      <c r="AA97" s="2" t="s">
        <v>508</v>
      </c>
      <c r="AB97" s="2" t="s">
        <v>510</v>
      </c>
      <c r="AC97" s="2" t="s">
        <v>509</v>
      </c>
      <c r="AD97" s="4">
        <v>40</v>
      </c>
      <c r="AI97" s="25" t="s">
        <v>111</v>
      </c>
      <c r="AJ97" s="2" t="s">
        <v>50</v>
      </c>
      <c r="AK97" s="14" t="s">
        <v>406</v>
      </c>
      <c r="AL97" s="53" t="s">
        <v>79</v>
      </c>
      <c r="AM97" s="14" t="s">
        <v>481</v>
      </c>
      <c r="AN97" s="14" t="s">
        <v>50</v>
      </c>
      <c r="AO97" s="14" t="s">
        <v>421</v>
      </c>
      <c r="AP97" s="53" t="s">
        <v>482</v>
      </c>
      <c r="AQ97" s="14" t="s">
        <v>244</v>
      </c>
      <c r="AR97" s="14" t="s">
        <v>50</v>
      </c>
      <c r="AS97" s="14" t="s">
        <v>425</v>
      </c>
      <c r="AT97" s="53" t="s">
        <v>483</v>
      </c>
      <c r="AU97" s="7">
        <v>48.4</v>
      </c>
      <c r="AV97" s="14"/>
      <c r="AW97" s="14"/>
      <c r="AX97" s="14"/>
      <c r="AY97" s="14"/>
      <c r="AZ97" s="2" t="s">
        <v>52</v>
      </c>
      <c r="BA97" s="2" t="s">
        <v>53</v>
      </c>
      <c r="BB97" s="2" t="s">
        <v>400</v>
      </c>
      <c r="BC97" s="2" t="s">
        <v>399</v>
      </c>
      <c r="BD97" s="57"/>
      <c r="BE97" s="4">
        <f t="shared" si="3"/>
        <v>1401301955</v>
      </c>
      <c r="BF97" s="13"/>
      <c r="BG97" s="13"/>
      <c r="BH97" s="37"/>
      <c r="BI97" s="17"/>
    </row>
    <row r="98" spans="1:61" ht="15" customHeight="1" x14ac:dyDescent="0.25">
      <c r="A98" s="18" t="s">
        <v>95</v>
      </c>
      <c r="B98" s="25" t="s">
        <v>348</v>
      </c>
      <c r="C98" s="66" t="s">
        <v>349</v>
      </c>
      <c r="D98" s="19">
        <v>1400357982</v>
      </c>
      <c r="E98" s="17"/>
      <c r="F98" s="15">
        <v>26413</v>
      </c>
      <c r="G98" s="13">
        <f>2026-1972</f>
        <v>54</v>
      </c>
      <c r="H98" s="2" t="s">
        <v>401</v>
      </c>
      <c r="I98" s="2" t="s">
        <v>45</v>
      </c>
      <c r="K98" s="2" t="s">
        <v>47</v>
      </c>
      <c r="L98" s="2" t="s">
        <v>47</v>
      </c>
      <c r="M98" t="s">
        <v>605</v>
      </c>
      <c r="N98" s="2" t="s">
        <v>48</v>
      </c>
      <c r="O98" s="2" t="s">
        <v>48</v>
      </c>
      <c r="U98" s="52"/>
      <c r="Z98" s="52"/>
      <c r="AA98" s="2" t="s">
        <v>508</v>
      </c>
      <c r="AB98" s="2" t="s">
        <v>510</v>
      </c>
      <c r="AC98" s="2" t="s">
        <v>509</v>
      </c>
      <c r="AD98" s="4">
        <v>40</v>
      </c>
      <c r="AI98" s="25" t="s">
        <v>91</v>
      </c>
      <c r="AJ98" s="2" t="s">
        <v>50</v>
      </c>
      <c r="AK98" s="14" t="s">
        <v>47</v>
      </c>
      <c r="AL98" s="53" t="s">
        <v>79</v>
      </c>
      <c r="AM98" s="14" t="s">
        <v>246</v>
      </c>
      <c r="AN98" s="14" t="s">
        <v>50</v>
      </c>
      <c r="AO98" s="14" t="s">
        <v>418</v>
      </c>
      <c r="AP98" s="53" t="s">
        <v>484</v>
      </c>
      <c r="AQ98" s="14"/>
      <c r="AR98" s="14"/>
      <c r="AS98" s="14"/>
      <c r="AT98" s="53"/>
      <c r="AU98" s="7">
        <v>48.4</v>
      </c>
      <c r="AV98" s="14"/>
      <c r="AW98" s="14"/>
      <c r="AX98" s="14"/>
      <c r="AY98" s="14"/>
      <c r="AZ98" s="2" t="s">
        <v>52</v>
      </c>
      <c r="BA98" s="2" t="s">
        <v>53</v>
      </c>
      <c r="BB98" s="2" t="s">
        <v>400</v>
      </c>
      <c r="BC98" s="2" t="s">
        <v>399</v>
      </c>
      <c r="BD98" s="57"/>
      <c r="BE98" s="4">
        <f t="shared" si="3"/>
        <v>1400357982</v>
      </c>
      <c r="BF98" s="13"/>
      <c r="BG98" s="13"/>
      <c r="BH98" s="37"/>
      <c r="BI98" s="17"/>
    </row>
    <row r="99" spans="1:61" ht="15" customHeight="1" x14ac:dyDescent="0.25">
      <c r="A99" s="13"/>
      <c r="B99" s="25" t="s">
        <v>350</v>
      </c>
      <c r="C99" s="66" t="s">
        <v>351</v>
      </c>
      <c r="D99" s="20" t="s">
        <v>352</v>
      </c>
      <c r="E99" s="17"/>
      <c r="F99" s="15">
        <v>36323</v>
      </c>
      <c r="G99" s="13">
        <f>2026-1999</f>
        <v>27</v>
      </c>
      <c r="H99" s="2" t="s">
        <v>401</v>
      </c>
      <c r="I99" s="2" t="s">
        <v>45</v>
      </c>
      <c r="K99" s="2" t="s">
        <v>47</v>
      </c>
      <c r="L99" s="2" t="s">
        <v>47</v>
      </c>
      <c r="M99" t="s">
        <v>606</v>
      </c>
      <c r="N99" s="2" t="s">
        <v>48</v>
      </c>
      <c r="O99" s="2" t="s">
        <v>48</v>
      </c>
      <c r="U99" s="52"/>
      <c r="Z99" s="52"/>
      <c r="AA99" s="2" t="s">
        <v>508</v>
      </c>
      <c r="AB99" s="2" t="s">
        <v>510</v>
      </c>
      <c r="AC99" s="2" t="s">
        <v>509</v>
      </c>
      <c r="AD99" s="4">
        <v>40</v>
      </c>
      <c r="AI99" s="25" t="s">
        <v>443</v>
      </c>
      <c r="AJ99" s="2" t="s">
        <v>50</v>
      </c>
      <c r="AK99" s="14" t="s">
        <v>47</v>
      </c>
      <c r="AL99" s="53" t="s">
        <v>79</v>
      </c>
      <c r="AM99" s="14"/>
      <c r="AN99" s="14"/>
      <c r="AO99" s="14"/>
      <c r="AP99" s="53"/>
      <c r="AQ99" s="14"/>
      <c r="AR99" s="14"/>
      <c r="AS99" s="14"/>
      <c r="AT99" s="53"/>
      <c r="AU99" s="7">
        <v>48.4</v>
      </c>
      <c r="AV99" s="14"/>
      <c r="AW99" s="14"/>
      <c r="AX99" s="14"/>
      <c r="AY99" s="14"/>
      <c r="AZ99" s="2" t="s">
        <v>52</v>
      </c>
      <c r="BA99" s="2" t="s">
        <v>53</v>
      </c>
      <c r="BB99" s="2" t="s">
        <v>400</v>
      </c>
      <c r="BC99" s="2" t="s">
        <v>399</v>
      </c>
      <c r="BD99" s="57"/>
      <c r="BE99" s="4" t="str">
        <f t="shared" si="3"/>
        <v>0107138786</v>
      </c>
      <c r="BF99" s="13"/>
      <c r="BG99" s="13"/>
      <c r="BH99" s="37"/>
      <c r="BI99" s="17"/>
    </row>
    <row r="100" spans="1:61" ht="15" customHeight="1" x14ac:dyDescent="0.25">
      <c r="A100" s="13"/>
      <c r="B100" s="25" t="s">
        <v>353</v>
      </c>
      <c r="C100" s="66" t="s">
        <v>354</v>
      </c>
      <c r="D100" s="20" t="s">
        <v>355</v>
      </c>
      <c r="E100" s="17"/>
      <c r="F100" s="15">
        <v>32952</v>
      </c>
      <c r="G100" s="13">
        <f>2026-1990</f>
        <v>36</v>
      </c>
      <c r="H100" s="2" t="s">
        <v>401</v>
      </c>
      <c r="I100" s="2" t="s">
        <v>45</v>
      </c>
      <c r="K100" s="2" t="s">
        <v>47</v>
      </c>
      <c r="L100" s="2" t="s">
        <v>47</v>
      </c>
      <c r="M100" t="s">
        <v>607</v>
      </c>
      <c r="N100" s="2" t="s">
        <v>48</v>
      </c>
      <c r="O100" s="2" t="s">
        <v>48</v>
      </c>
      <c r="U100" s="52"/>
      <c r="Z100" s="52"/>
      <c r="AA100" s="2" t="s">
        <v>508</v>
      </c>
      <c r="AB100" s="2" t="s">
        <v>510</v>
      </c>
      <c r="AC100" s="2" t="s">
        <v>509</v>
      </c>
      <c r="AD100" s="4">
        <v>40</v>
      </c>
      <c r="AI100" s="25" t="s">
        <v>442</v>
      </c>
      <c r="AJ100" s="2" t="s">
        <v>50</v>
      </c>
      <c r="AK100" s="14" t="s">
        <v>500</v>
      </c>
      <c r="AL100" s="53" t="s">
        <v>444</v>
      </c>
      <c r="AM100" s="14"/>
      <c r="AN100" s="14"/>
      <c r="AO100" s="14"/>
      <c r="AP100" s="53"/>
      <c r="AQ100" s="14"/>
      <c r="AR100" s="14"/>
      <c r="AS100" s="14"/>
      <c r="AT100" s="53"/>
      <c r="AU100" s="7">
        <v>48.4</v>
      </c>
      <c r="AV100" s="14"/>
      <c r="AW100" s="14"/>
      <c r="AX100" s="14"/>
      <c r="AY100" s="14"/>
      <c r="AZ100" s="2" t="s">
        <v>52</v>
      </c>
      <c r="BA100" s="2" t="s">
        <v>53</v>
      </c>
      <c r="BB100" s="2" t="s">
        <v>400</v>
      </c>
      <c r="BC100" s="2" t="s">
        <v>399</v>
      </c>
      <c r="BD100" s="57"/>
      <c r="BE100" s="4" t="str">
        <f t="shared" si="3"/>
        <v>1400962971</v>
      </c>
      <c r="BF100" s="13"/>
      <c r="BG100" s="13"/>
      <c r="BH100" s="37"/>
      <c r="BI100" s="17"/>
    </row>
    <row r="101" spans="1:61" ht="15" customHeight="1" x14ac:dyDescent="0.25">
      <c r="A101" s="13"/>
      <c r="B101" s="25" t="s">
        <v>356</v>
      </c>
      <c r="C101" s="66" t="s">
        <v>357</v>
      </c>
      <c r="D101" s="19">
        <v>1400194450</v>
      </c>
      <c r="E101" s="17"/>
      <c r="F101" s="15">
        <v>25267</v>
      </c>
      <c r="G101" s="13">
        <f>2026-1969</f>
        <v>57</v>
      </c>
      <c r="H101" s="2" t="s">
        <v>401</v>
      </c>
      <c r="I101" s="2" t="s">
        <v>45</v>
      </c>
      <c r="K101" s="2" t="s">
        <v>47</v>
      </c>
      <c r="L101" s="2" t="s">
        <v>47</v>
      </c>
      <c r="M101" t="s">
        <v>608</v>
      </c>
      <c r="N101" s="2" t="s">
        <v>48</v>
      </c>
      <c r="O101" s="2" t="s">
        <v>48</v>
      </c>
      <c r="U101" s="52"/>
      <c r="Z101" s="52"/>
      <c r="AA101" s="2" t="s">
        <v>508</v>
      </c>
      <c r="AB101" s="2" t="s">
        <v>510</v>
      </c>
      <c r="AC101" s="2" t="s">
        <v>509</v>
      </c>
      <c r="AD101" s="4">
        <v>40</v>
      </c>
      <c r="AI101" s="25" t="s">
        <v>82</v>
      </c>
      <c r="AJ101" s="2" t="s">
        <v>50</v>
      </c>
      <c r="AK101" s="14" t="s">
        <v>47</v>
      </c>
      <c r="AL101" s="53" t="s">
        <v>436</v>
      </c>
      <c r="AM101" s="14"/>
      <c r="AN101" s="14"/>
      <c r="AO101" s="14"/>
      <c r="AP101" s="53"/>
      <c r="AQ101" s="14"/>
      <c r="AR101" s="14"/>
      <c r="AS101" s="14"/>
      <c r="AT101" s="53"/>
      <c r="AU101" s="7">
        <v>48.4</v>
      </c>
      <c r="AV101" s="14"/>
      <c r="AW101" s="14"/>
      <c r="AX101" s="14"/>
      <c r="AY101" s="14"/>
      <c r="AZ101" s="2" t="s">
        <v>52</v>
      </c>
      <c r="BA101" s="2" t="s">
        <v>53</v>
      </c>
      <c r="BB101" s="2" t="s">
        <v>400</v>
      </c>
      <c r="BC101" s="2" t="s">
        <v>399</v>
      </c>
      <c r="BD101" s="57"/>
      <c r="BE101" s="4">
        <f t="shared" si="3"/>
        <v>1400194450</v>
      </c>
      <c r="BF101" s="13"/>
      <c r="BG101" s="13"/>
      <c r="BH101" s="37"/>
      <c r="BI101" s="17"/>
    </row>
    <row r="102" spans="1:61" ht="15" customHeight="1" x14ac:dyDescent="0.25">
      <c r="A102" s="13"/>
      <c r="B102" s="25" t="s">
        <v>358</v>
      </c>
      <c r="C102" s="66" t="s">
        <v>359</v>
      </c>
      <c r="D102" s="20">
        <v>1400503593</v>
      </c>
      <c r="E102" s="17"/>
      <c r="F102" s="15">
        <v>28490</v>
      </c>
      <c r="G102" s="13">
        <f>2026-1977</f>
        <v>49</v>
      </c>
      <c r="H102" s="2" t="s">
        <v>401</v>
      </c>
      <c r="I102" s="2" t="s">
        <v>45</v>
      </c>
      <c r="K102" s="2" t="s">
        <v>47</v>
      </c>
      <c r="L102" s="2" t="s">
        <v>47</v>
      </c>
      <c r="M102" t="s">
        <v>609</v>
      </c>
      <c r="N102" s="2" t="s">
        <v>48</v>
      </c>
      <c r="O102" s="2" t="s">
        <v>48</v>
      </c>
      <c r="U102" s="52"/>
      <c r="Z102" s="52"/>
      <c r="AA102" s="2" t="s">
        <v>508</v>
      </c>
      <c r="AB102" s="2" t="s">
        <v>510</v>
      </c>
      <c r="AC102" s="2" t="s">
        <v>509</v>
      </c>
      <c r="AD102" s="4">
        <v>40</v>
      </c>
      <c r="AI102" s="25" t="s">
        <v>195</v>
      </c>
      <c r="AJ102" s="2" t="s">
        <v>50</v>
      </c>
      <c r="AK102" s="14" t="s">
        <v>47</v>
      </c>
      <c r="AL102" s="53" t="s">
        <v>79</v>
      </c>
      <c r="AM102" s="14"/>
      <c r="AN102" s="14"/>
      <c r="AO102" s="14"/>
      <c r="AP102" s="53"/>
      <c r="AQ102" s="14"/>
      <c r="AR102" s="14"/>
      <c r="AS102" s="14"/>
      <c r="AT102" s="53"/>
      <c r="AU102" s="7">
        <v>48.4</v>
      </c>
      <c r="AV102" s="14"/>
      <c r="AW102" s="14"/>
      <c r="AX102" s="14"/>
      <c r="AY102" s="14"/>
      <c r="AZ102" s="2" t="s">
        <v>52</v>
      </c>
      <c r="BA102" s="2" t="s">
        <v>53</v>
      </c>
      <c r="BB102" s="2" t="s">
        <v>400</v>
      </c>
      <c r="BC102" s="2" t="s">
        <v>399</v>
      </c>
      <c r="BD102" s="57"/>
      <c r="BE102" s="4">
        <f t="shared" si="3"/>
        <v>1400503593</v>
      </c>
      <c r="BF102" s="13"/>
      <c r="BG102" s="13"/>
      <c r="BH102" s="37"/>
      <c r="BI102" s="17"/>
    </row>
    <row r="103" spans="1:61" ht="15" customHeight="1" x14ac:dyDescent="0.25">
      <c r="A103" s="18" t="s">
        <v>95</v>
      </c>
      <c r="B103" s="25" t="s">
        <v>360</v>
      </c>
      <c r="C103" s="66" t="s">
        <v>361</v>
      </c>
      <c r="D103" s="19">
        <v>1202866727</v>
      </c>
      <c r="E103" s="17"/>
      <c r="F103" s="15">
        <v>25633</v>
      </c>
      <c r="G103" s="13">
        <f>2026-1970</f>
        <v>56</v>
      </c>
      <c r="H103" s="2" t="s">
        <v>401</v>
      </c>
      <c r="I103" s="2" t="s">
        <v>45</v>
      </c>
      <c r="K103" s="2" t="s">
        <v>47</v>
      </c>
      <c r="L103" s="2" t="s">
        <v>47</v>
      </c>
      <c r="M103" t="s">
        <v>610</v>
      </c>
      <c r="N103" s="2" t="s">
        <v>48</v>
      </c>
      <c r="O103" s="2" t="s">
        <v>48</v>
      </c>
      <c r="U103" s="52"/>
      <c r="Z103" s="52"/>
      <c r="AA103" s="2" t="s">
        <v>508</v>
      </c>
      <c r="AB103" s="2" t="s">
        <v>510</v>
      </c>
      <c r="AC103" s="2" t="s">
        <v>509</v>
      </c>
      <c r="AD103" s="4">
        <v>40</v>
      </c>
      <c r="AI103" s="25" t="s">
        <v>445</v>
      </c>
      <c r="AJ103" s="2" t="s">
        <v>50</v>
      </c>
      <c r="AK103" s="14" t="s">
        <v>426</v>
      </c>
      <c r="AL103" s="53" t="s">
        <v>79</v>
      </c>
      <c r="AM103" s="14" t="s">
        <v>246</v>
      </c>
      <c r="AN103" s="14" t="s">
        <v>50</v>
      </c>
      <c r="AO103" s="14" t="s">
        <v>418</v>
      </c>
      <c r="AP103" s="53" t="s">
        <v>485</v>
      </c>
      <c r="AQ103" s="14"/>
      <c r="AR103" s="14"/>
      <c r="AS103" s="14"/>
      <c r="AT103" s="53"/>
      <c r="AU103" s="7">
        <v>48.4</v>
      </c>
      <c r="AV103" s="14"/>
      <c r="AW103" s="14"/>
      <c r="AX103" s="14"/>
      <c r="AY103" s="14"/>
      <c r="AZ103" s="2" t="s">
        <v>52</v>
      </c>
      <c r="BA103" s="2" t="s">
        <v>53</v>
      </c>
      <c r="BB103" s="2" t="s">
        <v>400</v>
      </c>
      <c r="BC103" s="2" t="s">
        <v>399</v>
      </c>
      <c r="BD103" s="57"/>
      <c r="BE103" s="4">
        <f t="shared" si="3"/>
        <v>1202866727</v>
      </c>
      <c r="BF103" s="13"/>
      <c r="BG103" s="13"/>
      <c r="BH103" s="37"/>
      <c r="BI103" s="17"/>
    </row>
    <row r="104" spans="1:61" ht="15" customHeight="1" x14ac:dyDescent="0.25">
      <c r="A104" s="13"/>
      <c r="B104" s="25" t="s">
        <v>362</v>
      </c>
      <c r="C104" s="66" t="s">
        <v>363</v>
      </c>
      <c r="D104" s="20" t="s">
        <v>364</v>
      </c>
      <c r="E104" s="17"/>
      <c r="F104" s="15">
        <v>34800</v>
      </c>
      <c r="G104" s="13">
        <f>2026-1995</f>
        <v>31</v>
      </c>
      <c r="H104" s="2" t="s">
        <v>401</v>
      </c>
      <c r="I104" s="2" t="s">
        <v>45</v>
      </c>
      <c r="K104" s="2" t="s">
        <v>47</v>
      </c>
      <c r="L104" s="2" t="s">
        <v>47</v>
      </c>
      <c r="M104" t="s">
        <v>611</v>
      </c>
      <c r="N104" s="2" t="s">
        <v>48</v>
      </c>
      <c r="O104" s="2" t="s">
        <v>48</v>
      </c>
      <c r="U104" s="52"/>
      <c r="Z104" s="52"/>
      <c r="AA104" s="2" t="s">
        <v>508</v>
      </c>
      <c r="AB104" s="2" t="s">
        <v>510</v>
      </c>
      <c r="AC104" s="2" t="s">
        <v>509</v>
      </c>
      <c r="AD104" s="4">
        <v>40</v>
      </c>
      <c r="AI104" s="25" t="s">
        <v>82</v>
      </c>
      <c r="AJ104" s="2" t="s">
        <v>50</v>
      </c>
      <c r="AK104" s="14" t="s">
        <v>47</v>
      </c>
      <c r="AL104" s="53" t="s">
        <v>190</v>
      </c>
      <c r="AM104" s="14"/>
      <c r="AN104" s="14"/>
      <c r="AO104" s="14"/>
      <c r="AP104" s="53"/>
      <c r="AQ104" s="14"/>
      <c r="AR104" s="14"/>
      <c r="AS104" s="14"/>
      <c r="AT104" s="53"/>
      <c r="AU104" s="7">
        <v>48.4</v>
      </c>
      <c r="AV104" s="14"/>
      <c r="AW104" s="14"/>
      <c r="AX104" s="14"/>
      <c r="AY104" s="14"/>
      <c r="AZ104" s="2" t="s">
        <v>52</v>
      </c>
      <c r="BA104" s="2" t="s">
        <v>53</v>
      </c>
      <c r="BB104" s="2" t="s">
        <v>400</v>
      </c>
      <c r="BC104" s="2" t="s">
        <v>399</v>
      </c>
      <c r="BD104" s="57"/>
      <c r="BE104" s="4" t="str">
        <f t="shared" si="3"/>
        <v>1401186968</v>
      </c>
      <c r="BF104" s="13"/>
      <c r="BG104" s="13"/>
      <c r="BH104" s="37"/>
      <c r="BI104" s="17"/>
    </row>
    <row r="105" spans="1:61" ht="15" customHeight="1" x14ac:dyDescent="0.25">
      <c r="A105" s="18" t="s">
        <v>95</v>
      </c>
      <c r="B105" s="25" t="s">
        <v>365</v>
      </c>
      <c r="C105" s="66" t="s">
        <v>366</v>
      </c>
      <c r="D105" s="20" t="s">
        <v>367</v>
      </c>
      <c r="E105" s="17"/>
      <c r="F105" s="15">
        <v>26011</v>
      </c>
      <c r="G105" s="13">
        <f>2026-1971</f>
        <v>55</v>
      </c>
      <c r="H105" s="2" t="s">
        <v>401</v>
      </c>
      <c r="I105" s="2" t="s">
        <v>45</v>
      </c>
      <c r="K105" s="2" t="s">
        <v>47</v>
      </c>
      <c r="L105" s="2" t="s">
        <v>47</v>
      </c>
      <c r="M105" t="s">
        <v>612</v>
      </c>
      <c r="N105" s="2" t="s">
        <v>48</v>
      </c>
      <c r="O105" s="2" t="s">
        <v>48</v>
      </c>
      <c r="U105" s="52"/>
      <c r="Z105" s="52"/>
      <c r="AA105" s="2" t="s">
        <v>508</v>
      </c>
      <c r="AB105" s="2" t="s">
        <v>510</v>
      </c>
      <c r="AC105" s="2" t="s">
        <v>509</v>
      </c>
      <c r="AD105" s="4">
        <v>40</v>
      </c>
      <c r="AI105" s="25" t="s">
        <v>251</v>
      </c>
      <c r="AJ105" s="2" t="s">
        <v>50</v>
      </c>
      <c r="AK105" s="14" t="s">
        <v>425</v>
      </c>
      <c r="AL105" s="53" t="s">
        <v>436</v>
      </c>
      <c r="AM105" s="14" t="s">
        <v>232</v>
      </c>
      <c r="AN105" s="14" t="s">
        <v>50</v>
      </c>
      <c r="AO105" s="14" t="s">
        <v>418</v>
      </c>
      <c r="AP105" s="53" t="s">
        <v>232</v>
      </c>
      <c r="AQ105" s="14"/>
      <c r="AR105" s="14"/>
      <c r="AS105" s="14"/>
      <c r="AT105" s="53"/>
      <c r="AU105" s="7">
        <v>48.4</v>
      </c>
      <c r="AV105" s="14"/>
      <c r="AW105" s="14"/>
      <c r="AX105" s="14"/>
      <c r="AY105" s="14"/>
      <c r="AZ105" s="2" t="s">
        <v>52</v>
      </c>
      <c r="BA105" s="2" t="s">
        <v>53</v>
      </c>
      <c r="BB105" s="2" t="s">
        <v>400</v>
      </c>
      <c r="BC105" s="2" t="s">
        <v>399</v>
      </c>
      <c r="BD105" s="57"/>
      <c r="BE105" s="4" t="str">
        <f t="shared" si="3"/>
        <v>0102287232</v>
      </c>
      <c r="BF105" s="13"/>
      <c r="BG105" s="13"/>
      <c r="BH105" s="37"/>
      <c r="BI105" s="17"/>
    </row>
    <row r="106" spans="1:61" ht="15" customHeight="1" x14ac:dyDescent="0.25">
      <c r="A106" s="18" t="s">
        <v>95</v>
      </c>
      <c r="B106" s="25" t="s">
        <v>368</v>
      </c>
      <c r="C106" s="66" t="s">
        <v>369</v>
      </c>
      <c r="D106" s="19">
        <v>1400541338</v>
      </c>
      <c r="E106" s="17"/>
      <c r="F106" s="15">
        <v>32046</v>
      </c>
      <c r="G106" s="13">
        <f>2026-1987</f>
        <v>39</v>
      </c>
      <c r="H106" s="2" t="s">
        <v>401</v>
      </c>
      <c r="I106" s="2" t="s">
        <v>45</v>
      </c>
      <c r="K106" s="2" t="s">
        <v>47</v>
      </c>
      <c r="L106" s="2" t="s">
        <v>47</v>
      </c>
      <c r="M106" t="s">
        <v>613</v>
      </c>
      <c r="N106" s="2" t="s">
        <v>48</v>
      </c>
      <c r="O106" s="2" t="s">
        <v>48</v>
      </c>
      <c r="U106" s="52"/>
      <c r="Z106" s="52"/>
      <c r="AA106" s="2" t="s">
        <v>508</v>
      </c>
      <c r="AB106" s="2" t="s">
        <v>510</v>
      </c>
      <c r="AC106" s="2" t="s">
        <v>509</v>
      </c>
      <c r="AD106" s="4">
        <v>40</v>
      </c>
      <c r="AI106" s="25" t="s">
        <v>91</v>
      </c>
      <c r="AJ106" s="2" t="s">
        <v>50</v>
      </c>
      <c r="AK106" s="14" t="s">
        <v>47</v>
      </c>
      <c r="AL106" s="53" t="s">
        <v>79</v>
      </c>
      <c r="AM106" s="14" t="s">
        <v>486</v>
      </c>
      <c r="AN106" s="14" t="s">
        <v>50</v>
      </c>
      <c r="AO106" s="14" t="s">
        <v>421</v>
      </c>
      <c r="AP106" s="53" t="s">
        <v>233</v>
      </c>
      <c r="AQ106" s="14"/>
      <c r="AR106" s="14"/>
      <c r="AS106" s="14"/>
      <c r="AT106" s="53"/>
      <c r="AU106" s="7">
        <v>48.4</v>
      </c>
      <c r="AV106" s="14"/>
      <c r="AW106" s="14"/>
      <c r="AX106" s="14"/>
      <c r="AY106" s="14"/>
      <c r="AZ106" s="2" t="s">
        <v>52</v>
      </c>
      <c r="BA106" s="2" t="s">
        <v>53</v>
      </c>
      <c r="BB106" s="2" t="s">
        <v>400</v>
      </c>
      <c r="BC106" s="2" t="s">
        <v>399</v>
      </c>
      <c r="BD106" s="57"/>
      <c r="BE106" s="4">
        <f t="shared" si="3"/>
        <v>1400541338</v>
      </c>
      <c r="BF106" s="13"/>
      <c r="BG106" s="13"/>
      <c r="BH106" s="37"/>
      <c r="BI106" s="17"/>
    </row>
    <row r="107" spans="1:61" ht="15" customHeight="1" x14ac:dyDescent="0.25">
      <c r="A107" s="18" t="s">
        <v>95</v>
      </c>
      <c r="B107" s="25" t="s">
        <v>370</v>
      </c>
      <c r="C107" s="66" t="s">
        <v>371</v>
      </c>
      <c r="D107" s="19">
        <v>1400484042</v>
      </c>
      <c r="E107" s="17"/>
      <c r="F107" s="15">
        <v>34184</v>
      </c>
      <c r="G107" s="13">
        <f>2026-1993</f>
        <v>33</v>
      </c>
      <c r="H107" s="2" t="s">
        <v>401</v>
      </c>
      <c r="I107" s="2" t="s">
        <v>45</v>
      </c>
      <c r="K107" s="2" t="s">
        <v>47</v>
      </c>
      <c r="L107" s="2" t="s">
        <v>47</v>
      </c>
      <c r="M107" t="s">
        <v>614</v>
      </c>
      <c r="N107" s="2" t="s">
        <v>48</v>
      </c>
      <c r="O107" s="2" t="s">
        <v>48</v>
      </c>
      <c r="U107" s="52"/>
      <c r="Z107" s="52"/>
      <c r="AA107" s="2" t="s">
        <v>508</v>
      </c>
      <c r="AB107" s="2" t="s">
        <v>510</v>
      </c>
      <c r="AC107" s="2" t="s">
        <v>509</v>
      </c>
      <c r="AD107" s="4">
        <v>40</v>
      </c>
      <c r="AE107" s="2"/>
      <c r="AF107" s="2"/>
      <c r="AG107" s="2"/>
      <c r="AI107" s="25"/>
      <c r="AJ107" s="14"/>
      <c r="AK107" s="14"/>
      <c r="AL107" s="53"/>
      <c r="AM107" s="14" t="s">
        <v>271</v>
      </c>
      <c r="AN107" s="14" t="s">
        <v>50</v>
      </c>
      <c r="AO107" s="14" t="s">
        <v>422</v>
      </c>
      <c r="AP107" s="53" t="s">
        <v>453</v>
      </c>
      <c r="AQ107" s="14"/>
      <c r="AR107" s="14"/>
      <c r="AS107" s="14"/>
      <c r="AT107" s="53"/>
      <c r="AU107" s="7">
        <v>48.4</v>
      </c>
      <c r="AV107" s="14"/>
      <c r="AW107" s="14"/>
      <c r="AX107" s="14"/>
      <c r="AY107" s="14"/>
      <c r="AZ107" s="2" t="s">
        <v>52</v>
      </c>
      <c r="BA107" s="2" t="s">
        <v>53</v>
      </c>
      <c r="BB107" s="2" t="s">
        <v>400</v>
      </c>
      <c r="BC107" s="2" t="s">
        <v>399</v>
      </c>
      <c r="BD107" s="57"/>
      <c r="BE107" s="4">
        <f t="shared" si="3"/>
        <v>1400484042</v>
      </c>
      <c r="BF107" s="13"/>
      <c r="BG107" s="13"/>
      <c r="BH107" s="37"/>
      <c r="BI107" s="17"/>
    </row>
    <row r="108" spans="1:61" ht="15" customHeight="1" x14ac:dyDescent="0.25">
      <c r="A108" s="18" t="s">
        <v>95</v>
      </c>
      <c r="B108" s="25" t="s">
        <v>372</v>
      </c>
      <c r="C108" s="66" t="s">
        <v>373</v>
      </c>
      <c r="D108" s="20">
        <v>1400421374</v>
      </c>
      <c r="E108" s="17"/>
      <c r="F108" s="15">
        <v>29799</v>
      </c>
      <c r="G108" s="13">
        <f>2026-1981</f>
        <v>45</v>
      </c>
      <c r="H108" s="2" t="s">
        <v>401</v>
      </c>
      <c r="I108" s="2" t="s">
        <v>45</v>
      </c>
      <c r="K108" s="2" t="s">
        <v>47</v>
      </c>
      <c r="L108" s="2" t="s">
        <v>47</v>
      </c>
      <c r="M108" t="s">
        <v>615</v>
      </c>
      <c r="N108" s="2" t="s">
        <v>48</v>
      </c>
      <c r="O108" s="2" t="s">
        <v>48</v>
      </c>
      <c r="U108" s="52"/>
      <c r="Z108" s="52"/>
      <c r="AA108" s="2" t="s">
        <v>508</v>
      </c>
      <c r="AB108" s="2" t="s">
        <v>510</v>
      </c>
      <c r="AC108" s="2" t="s">
        <v>509</v>
      </c>
      <c r="AD108" s="4">
        <v>40</v>
      </c>
      <c r="AI108" s="25" t="s">
        <v>91</v>
      </c>
      <c r="AJ108" s="2" t="s">
        <v>50</v>
      </c>
      <c r="AK108" s="14" t="s">
        <v>47</v>
      </c>
      <c r="AL108" s="53" t="s">
        <v>79</v>
      </c>
      <c r="AM108" s="14" t="s">
        <v>112</v>
      </c>
      <c r="AN108" s="14" t="s">
        <v>50</v>
      </c>
      <c r="AO108" s="14" t="s">
        <v>420</v>
      </c>
      <c r="AP108" s="53" t="s">
        <v>474</v>
      </c>
      <c r="AQ108" s="14"/>
      <c r="AR108" s="14"/>
      <c r="AS108" s="14"/>
      <c r="AT108" s="53"/>
      <c r="AU108" s="7">
        <v>48.4</v>
      </c>
      <c r="AV108" s="14"/>
      <c r="AW108" s="14"/>
      <c r="AX108" s="14"/>
      <c r="AY108" s="14"/>
      <c r="AZ108" s="2" t="s">
        <v>52</v>
      </c>
      <c r="BA108" s="2" t="s">
        <v>53</v>
      </c>
      <c r="BB108" s="2" t="s">
        <v>400</v>
      </c>
      <c r="BC108" s="2" t="s">
        <v>399</v>
      </c>
      <c r="BD108" s="57"/>
      <c r="BE108" s="4">
        <f t="shared" si="3"/>
        <v>1400421374</v>
      </c>
      <c r="BF108" s="13"/>
      <c r="BG108" s="13"/>
      <c r="BH108" s="37"/>
      <c r="BI108" s="17"/>
    </row>
    <row r="109" spans="1:61" ht="15" customHeight="1" x14ac:dyDescent="0.25">
      <c r="A109" s="13"/>
      <c r="B109" s="25" t="s">
        <v>374</v>
      </c>
      <c r="C109" s="66" t="s">
        <v>375</v>
      </c>
      <c r="D109" s="20">
        <v>1400673297</v>
      </c>
      <c r="E109" s="17"/>
      <c r="F109" s="15">
        <v>30382</v>
      </c>
      <c r="G109" s="13">
        <f>2026-1983</f>
        <v>43</v>
      </c>
      <c r="H109" s="2" t="s">
        <v>401</v>
      </c>
      <c r="I109" s="2" t="s">
        <v>45</v>
      </c>
      <c r="K109" s="2" t="s">
        <v>47</v>
      </c>
      <c r="L109" s="2" t="s">
        <v>47</v>
      </c>
      <c r="M109" t="s">
        <v>616</v>
      </c>
      <c r="N109" s="2" t="s">
        <v>48</v>
      </c>
      <c r="O109" s="2" t="s">
        <v>48</v>
      </c>
      <c r="U109" s="52"/>
      <c r="Z109" s="52"/>
      <c r="AA109" s="2" t="s">
        <v>508</v>
      </c>
      <c r="AB109" s="2" t="s">
        <v>510</v>
      </c>
      <c r="AC109" s="2" t="s">
        <v>509</v>
      </c>
      <c r="AD109" s="4">
        <v>40</v>
      </c>
      <c r="AE109" s="2" t="s">
        <v>630</v>
      </c>
      <c r="AF109" s="2" t="s">
        <v>50</v>
      </c>
      <c r="AG109" s="2" t="s">
        <v>631</v>
      </c>
      <c r="AI109" s="25"/>
      <c r="AJ109" s="14"/>
      <c r="AK109" s="14"/>
      <c r="AL109" s="53"/>
      <c r="AM109" s="14"/>
      <c r="AN109" s="14"/>
      <c r="AO109" s="14"/>
      <c r="AP109" s="53"/>
      <c r="AQ109" s="14"/>
      <c r="AR109" s="14"/>
      <c r="AS109" s="14"/>
      <c r="AT109" s="53"/>
      <c r="AU109" s="7">
        <v>48.4</v>
      </c>
      <c r="AV109" s="14"/>
      <c r="AW109" s="14"/>
      <c r="AX109" s="14"/>
      <c r="AY109" s="14"/>
      <c r="AZ109" s="2" t="s">
        <v>52</v>
      </c>
      <c r="BA109" s="2" t="s">
        <v>53</v>
      </c>
      <c r="BB109" s="2" t="s">
        <v>400</v>
      </c>
      <c r="BC109" s="2" t="s">
        <v>399</v>
      </c>
      <c r="BD109" s="57"/>
      <c r="BE109" s="4">
        <f t="shared" si="3"/>
        <v>1400673297</v>
      </c>
      <c r="BF109" s="13"/>
      <c r="BG109" s="13"/>
      <c r="BH109" s="37"/>
      <c r="BI109" s="17"/>
    </row>
    <row r="110" spans="1:61" ht="15" customHeight="1" x14ac:dyDescent="0.25">
      <c r="A110" s="13"/>
      <c r="B110" s="25" t="s">
        <v>376</v>
      </c>
      <c r="C110" s="66" t="s">
        <v>377</v>
      </c>
      <c r="D110" s="20">
        <v>1401223555</v>
      </c>
      <c r="E110" s="17"/>
      <c r="F110" s="15">
        <v>32629</v>
      </c>
      <c r="G110" s="13">
        <f>2026-1989</f>
        <v>37</v>
      </c>
      <c r="H110" s="2" t="s">
        <v>401</v>
      </c>
      <c r="I110" s="2" t="s">
        <v>45</v>
      </c>
      <c r="K110" s="2" t="s">
        <v>47</v>
      </c>
      <c r="L110" s="2" t="s">
        <v>47</v>
      </c>
      <c r="M110" t="s">
        <v>617</v>
      </c>
      <c r="N110" s="2" t="s">
        <v>48</v>
      </c>
      <c r="O110" s="2" t="s">
        <v>48</v>
      </c>
      <c r="U110" s="52"/>
      <c r="Z110" s="52"/>
      <c r="AA110" s="2" t="s">
        <v>508</v>
      </c>
      <c r="AB110" s="2" t="s">
        <v>510</v>
      </c>
      <c r="AC110" s="2" t="s">
        <v>509</v>
      </c>
      <c r="AD110" s="4">
        <v>40</v>
      </c>
      <c r="AI110" s="25" t="s">
        <v>446</v>
      </c>
      <c r="AJ110" s="2" t="s">
        <v>50</v>
      </c>
      <c r="AK110" s="14" t="s">
        <v>501</v>
      </c>
      <c r="AL110" s="53" t="s">
        <v>79</v>
      </c>
      <c r="AM110" s="14"/>
      <c r="AN110" s="14"/>
      <c r="AO110" s="14"/>
      <c r="AP110" s="53"/>
      <c r="AQ110" s="14"/>
      <c r="AR110" s="14"/>
      <c r="AS110" s="14"/>
      <c r="AT110" s="53"/>
      <c r="AU110" s="7">
        <v>48.4</v>
      </c>
      <c r="AV110" s="14"/>
      <c r="AW110" s="14"/>
      <c r="AX110" s="14"/>
      <c r="AY110" s="14"/>
      <c r="AZ110" s="2" t="s">
        <v>52</v>
      </c>
      <c r="BA110" s="2" t="s">
        <v>53</v>
      </c>
      <c r="BB110" s="2" t="s">
        <v>400</v>
      </c>
      <c r="BC110" s="2" t="s">
        <v>399</v>
      </c>
      <c r="BD110" s="57"/>
      <c r="BE110" s="4">
        <f t="shared" si="3"/>
        <v>1401223555</v>
      </c>
      <c r="BF110" s="13"/>
      <c r="BG110" s="13"/>
      <c r="BH110" s="37"/>
      <c r="BI110" s="17"/>
    </row>
    <row r="111" spans="1:61" ht="15" customHeight="1" x14ac:dyDescent="0.25">
      <c r="A111" s="18" t="s">
        <v>95</v>
      </c>
      <c r="B111" s="25" t="s">
        <v>378</v>
      </c>
      <c r="C111" s="66" t="s">
        <v>379</v>
      </c>
      <c r="D111" s="19">
        <v>1715851794</v>
      </c>
      <c r="E111" s="17"/>
      <c r="F111" s="15">
        <v>29190</v>
      </c>
      <c r="G111" s="13">
        <f>2026-1979</f>
        <v>47</v>
      </c>
      <c r="H111" s="2" t="s">
        <v>401</v>
      </c>
      <c r="I111" s="2" t="s">
        <v>45</v>
      </c>
      <c r="K111" s="2" t="s">
        <v>47</v>
      </c>
      <c r="L111" s="2" t="s">
        <v>47</v>
      </c>
      <c r="M111" t="s">
        <v>618</v>
      </c>
      <c r="N111" s="2" t="s">
        <v>48</v>
      </c>
      <c r="O111" s="2" t="s">
        <v>48</v>
      </c>
      <c r="U111" s="52"/>
      <c r="Z111" s="52"/>
      <c r="AA111" s="2" t="s">
        <v>508</v>
      </c>
      <c r="AB111" s="2" t="s">
        <v>510</v>
      </c>
      <c r="AC111" s="2" t="s">
        <v>509</v>
      </c>
      <c r="AD111" s="4">
        <v>40</v>
      </c>
      <c r="AI111" s="25" t="s">
        <v>447</v>
      </c>
      <c r="AJ111" s="2" t="s">
        <v>50</v>
      </c>
      <c r="AK111" s="14" t="s">
        <v>421</v>
      </c>
      <c r="AL111" s="53" t="s">
        <v>79</v>
      </c>
      <c r="AM111" s="14" t="s">
        <v>472</v>
      </c>
      <c r="AN111" s="14" t="s">
        <v>50</v>
      </c>
      <c r="AO111" s="14" t="s">
        <v>421</v>
      </c>
      <c r="AP111" s="53" t="s">
        <v>473</v>
      </c>
      <c r="AQ111" s="14"/>
      <c r="AR111" s="14"/>
      <c r="AS111" s="14"/>
      <c r="AT111" s="53"/>
      <c r="AU111" s="7">
        <v>48.4</v>
      </c>
      <c r="AV111" s="14"/>
      <c r="AW111" s="14"/>
      <c r="AX111" s="14"/>
      <c r="AY111" s="14"/>
      <c r="AZ111" s="2" t="s">
        <v>52</v>
      </c>
      <c r="BA111" s="2" t="s">
        <v>53</v>
      </c>
      <c r="BB111" s="2" t="s">
        <v>400</v>
      </c>
      <c r="BC111" s="2" t="s">
        <v>399</v>
      </c>
      <c r="BD111" s="57"/>
      <c r="BE111" s="4">
        <f t="shared" si="3"/>
        <v>1715851794</v>
      </c>
      <c r="BF111" s="13"/>
      <c r="BG111" s="13"/>
      <c r="BH111" s="37"/>
      <c r="BI111" s="17"/>
    </row>
    <row r="112" spans="1:61" ht="15" customHeight="1" x14ac:dyDescent="0.25">
      <c r="A112" s="13" t="s">
        <v>58</v>
      </c>
      <c r="B112" s="25" t="s">
        <v>380</v>
      </c>
      <c r="C112" s="66" t="s">
        <v>381</v>
      </c>
      <c r="D112" s="20">
        <v>1400717086</v>
      </c>
      <c r="E112" s="17"/>
      <c r="F112" s="15">
        <v>30901</v>
      </c>
      <c r="G112" s="13">
        <f>2026-1984</f>
        <v>42</v>
      </c>
      <c r="H112" s="2" t="s">
        <v>401</v>
      </c>
      <c r="I112" s="2" t="s">
        <v>45</v>
      </c>
      <c r="K112" s="2" t="s">
        <v>47</v>
      </c>
      <c r="L112" s="2" t="s">
        <v>47</v>
      </c>
      <c r="M112" t="s">
        <v>619</v>
      </c>
      <c r="N112" s="2" t="s">
        <v>48</v>
      </c>
      <c r="O112" s="2" t="s">
        <v>48</v>
      </c>
      <c r="U112" s="52"/>
      <c r="Z112" s="52"/>
      <c r="AA112" s="2" t="s">
        <v>508</v>
      </c>
      <c r="AB112" s="2" t="s">
        <v>510</v>
      </c>
      <c r="AC112" s="2" t="s">
        <v>509</v>
      </c>
      <c r="AD112" s="4">
        <v>40</v>
      </c>
      <c r="AE112" s="2" t="s">
        <v>630</v>
      </c>
      <c r="AF112" s="2" t="s">
        <v>50</v>
      </c>
      <c r="AG112" s="2" t="s">
        <v>631</v>
      </c>
      <c r="AI112" s="25"/>
      <c r="AJ112" s="14"/>
      <c r="AK112" s="14"/>
      <c r="AL112" s="53"/>
      <c r="AM112" s="14"/>
      <c r="AN112" s="14"/>
      <c r="AO112" s="14"/>
      <c r="AP112" s="53"/>
      <c r="AQ112" s="14"/>
      <c r="AR112" s="14"/>
      <c r="AS112" s="14"/>
      <c r="AT112" s="53"/>
      <c r="AU112" s="7">
        <v>48.4</v>
      </c>
      <c r="AV112" s="14"/>
      <c r="AW112" s="14"/>
      <c r="AX112" s="14"/>
      <c r="AY112" s="14"/>
      <c r="AZ112" s="2" t="s">
        <v>52</v>
      </c>
      <c r="BA112" s="2" t="s">
        <v>53</v>
      </c>
      <c r="BB112" s="2" t="s">
        <v>400</v>
      </c>
      <c r="BC112" s="2" t="s">
        <v>399</v>
      </c>
      <c r="BD112" s="57"/>
      <c r="BE112" s="4">
        <f t="shared" si="3"/>
        <v>1400717086</v>
      </c>
      <c r="BF112" s="13"/>
      <c r="BG112" s="13"/>
      <c r="BH112" s="37"/>
      <c r="BI112" s="17"/>
    </row>
    <row r="113" spans="1:61" ht="15" customHeight="1" x14ac:dyDescent="0.25">
      <c r="A113" s="18" t="s">
        <v>95</v>
      </c>
      <c r="B113" s="25" t="s">
        <v>382</v>
      </c>
      <c r="C113" s="66" t="s">
        <v>383</v>
      </c>
      <c r="D113" s="20" t="s">
        <v>384</v>
      </c>
      <c r="E113" s="17"/>
      <c r="F113" s="15">
        <v>35593</v>
      </c>
      <c r="G113" s="13">
        <f>2026-1997</f>
        <v>29</v>
      </c>
      <c r="H113" s="2" t="s">
        <v>401</v>
      </c>
      <c r="I113" s="2" t="s">
        <v>45</v>
      </c>
      <c r="K113" s="2" t="s">
        <v>47</v>
      </c>
      <c r="L113" s="2" t="s">
        <v>47</v>
      </c>
      <c r="M113" t="s">
        <v>620</v>
      </c>
      <c r="N113" s="2" t="s">
        <v>48</v>
      </c>
      <c r="O113" s="2" t="s">
        <v>48</v>
      </c>
      <c r="U113" s="52"/>
      <c r="Z113" s="52"/>
      <c r="AA113" s="2" t="s">
        <v>508</v>
      </c>
      <c r="AB113" s="2" t="s">
        <v>510</v>
      </c>
      <c r="AC113" s="2" t="s">
        <v>509</v>
      </c>
      <c r="AD113" s="4">
        <v>40</v>
      </c>
      <c r="AI113" s="25" t="s">
        <v>251</v>
      </c>
      <c r="AJ113" s="2" t="s">
        <v>50</v>
      </c>
      <c r="AK113" s="14" t="s">
        <v>418</v>
      </c>
      <c r="AL113" s="53" t="s">
        <v>448</v>
      </c>
      <c r="AM113" s="14" t="s">
        <v>225</v>
      </c>
      <c r="AN113" s="14" t="s">
        <v>50</v>
      </c>
      <c r="AO113" s="14" t="s">
        <v>418</v>
      </c>
      <c r="AP113" s="53" t="s">
        <v>471</v>
      </c>
      <c r="AQ113" s="14"/>
      <c r="AR113" s="14"/>
      <c r="AS113" s="14"/>
      <c r="AT113" s="53"/>
      <c r="AU113" s="7">
        <v>48.4</v>
      </c>
      <c r="AV113" s="14"/>
      <c r="AW113" s="14"/>
      <c r="AX113" s="14"/>
      <c r="AY113" s="14"/>
      <c r="AZ113" s="2" t="s">
        <v>52</v>
      </c>
      <c r="BA113" s="2" t="s">
        <v>53</v>
      </c>
      <c r="BB113" s="2" t="s">
        <v>400</v>
      </c>
      <c r="BC113" s="2" t="s">
        <v>399</v>
      </c>
      <c r="BD113" s="57"/>
      <c r="BE113" s="4" t="str">
        <f t="shared" si="3"/>
        <v>0105758296</v>
      </c>
      <c r="BF113" s="13"/>
      <c r="BG113" s="13"/>
      <c r="BH113" s="37"/>
      <c r="BI113" s="17"/>
    </row>
    <row r="114" spans="1:61" ht="15" customHeight="1" x14ac:dyDescent="0.25">
      <c r="A114" s="13"/>
      <c r="B114" s="25" t="s">
        <v>385</v>
      </c>
      <c r="C114" s="66" t="s">
        <v>386</v>
      </c>
      <c r="D114" s="20">
        <v>1400733927</v>
      </c>
      <c r="E114" s="17"/>
      <c r="F114" s="15">
        <v>30880</v>
      </c>
      <c r="G114" s="13">
        <f>2026-1984</f>
        <v>42</v>
      </c>
      <c r="H114" s="2" t="s">
        <v>401</v>
      </c>
      <c r="I114" s="2" t="s">
        <v>45</v>
      </c>
      <c r="K114" s="2" t="s">
        <v>47</v>
      </c>
      <c r="L114" s="2" t="s">
        <v>47</v>
      </c>
      <c r="M114" t="s">
        <v>621</v>
      </c>
      <c r="N114" s="2" t="s">
        <v>48</v>
      </c>
      <c r="O114" s="2" t="s">
        <v>48</v>
      </c>
      <c r="U114" s="52"/>
      <c r="Z114" s="52"/>
      <c r="AA114" s="2" t="s">
        <v>508</v>
      </c>
      <c r="AB114" s="2" t="s">
        <v>510</v>
      </c>
      <c r="AC114" s="2" t="s">
        <v>509</v>
      </c>
      <c r="AD114" s="4">
        <v>40</v>
      </c>
      <c r="AI114" s="25" t="s">
        <v>449</v>
      </c>
      <c r="AJ114" s="2" t="s">
        <v>50</v>
      </c>
      <c r="AK114" s="14" t="s">
        <v>493</v>
      </c>
      <c r="AL114" s="53" t="s">
        <v>79</v>
      </c>
      <c r="AM114" s="14"/>
      <c r="AN114" s="14"/>
      <c r="AO114" s="14"/>
      <c r="AP114" s="53"/>
      <c r="AQ114" s="14"/>
      <c r="AR114" s="14"/>
      <c r="AS114" s="14"/>
      <c r="AT114" s="53"/>
      <c r="AU114" s="7">
        <v>48.4</v>
      </c>
      <c r="AV114" s="14"/>
      <c r="AW114" s="14"/>
      <c r="AX114" s="14"/>
      <c r="AY114" s="14"/>
      <c r="AZ114" s="2" t="s">
        <v>52</v>
      </c>
      <c r="BA114" s="2" t="s">
        <v>53</v>
      </c>
      <c r="BB114" s="2" t="s">
        <v>400</v>
      </c>
      <c r="BC114" s="2" t="s">
        <v>399</v>
      </c>
      <c r="BD114" s="57"/>
      <c r="BE114" s="4">
        <f t="shared" si="3"/>
        <v>1400733927</v>
      </c>
      <c r="BF114" s="13"/>
      <c r="BG114" s="13"/>
      <c r="BH114" s="37"/>
      <c r="BI114" s="17"/>
    </row>
    <row r="115" spans="1:61" ht="15" customHeight="1" x14ac:dyDescent="0.25">
      <c r="A115" s="13"/>
      <c r="B115" s="25" t="s">
        <v>387</v>
      </c>
      <c r="C115" s="66" t="s">
        <v>388</v>
      </c>
      <c r="D115" s="20">
        <v>1400320600</v>
      </c>
      <c r="E115" s="17"/>
      <c r="F115" s="15">
        <v>27187</v>
      </c>
      <c r="G115" s="13">
        <f>2026-1974</f>
        <v>52</v>
      </c>
      <c r="H115" s="2" t="s">
        <v>401</v>
      </c>
      <c r="I115" s="2" t="s">
        <v>45</v>
      </c>
      <c r="K115" s="2" t="s">
        <v>47</v>
      </c>
      <c r="L115" s="2" t="s">
        <v>47</v>
      </c>
      <c r="M115" t="s">
        <v>622</v>
      </c>
      <c r="N115" s="2" t="s">
        <v>48</v>
      </c>
      <c r="O115" s="2" t="s">
        <v>48</v>
      </c>
      <c r="U115" s="52"/>
      <c r="Z115" s="52"/>
      <c r="AA115" s="2" t="s">
        <v>508</v>
      </c>
      <c r="AB115" s="2" t="s">
        <v>510</v>
      </c>
      <c r="AC115" s="2" t="s">
        <v>509</v>
      </c>
      <c r="AD115" s="4">
        <v>40</v>
      </c>
      <c r="AI115" s="25" t="s">
        <v>174</v>
      </c>
      <c r="AJ115" s="2" t="s">
        <v>50</v>
      </c>
      <c r="AK115" s="14" t="s">
        <v>494</v>
      </c>
      <c r="AL115" s="53" t="s">
        <v>103</v>
      </c>
      <c r="AM115" s="14"/>
      <c r="AN115" s="14"/>
      <c r="AO115" s="14"/>
      <c r="AP115" s="53"/>
      <c r="AQ115" s="14"/>
      <c r="AR115" s="14"/>
      <c r="AS115" s="14"/>
      <c r="AT115" s="53"/>
      <c r="AU115" s="7">
        <v>48.4</v>
      </c>
      <c r="AV115" s="14"/>
      <c r="AW115" s="14"/>
      <c r="AX115" s="14"/>
      <c r="AY115" s="14"/>
      <c r="AZ115" s="2" t="s">
        <v>52</v>
      </c>
      <c r="BA115" s="2" t="s">
        <v>53</v>
      </c>
      <c r="BB115" s="2" t="s">
        <v>400</v>
      </c>
      <c r="BC115" s="2" t="s">
        <v>399</v>
      </c>
      <c r="BD115" s="57"/>
      <c r="BE115" s="4">
        <f t="shared" si="3"/>
        <v>1400320600</v>
      </c>
      <c r="BF115" s="13"/>
      <c r="BG115" s="13"/>
      <c r="BH115" s="37"/>
      <c r="BI115" s="17"/>
    </row>
    <row r="116" spans="1:61" ht="15" customHeight="1" x14ac:dyDescent="0.25">
      <c r="A116" s="18" t="s">
        <v>95</v>
      </c>
      <c r="B116" s="25" t="s">
        <v>389</v>
      </c>
      <c r="C116" s="66" t="s">
        <v>390</v>
      </c>
      <c r="D116" s="19">
        <v>1401229222</v>
      </c>
      <c r="E116" s="17"/>
      <c r="F116" s="15">
        <v>34304</v>
      </c>
      <c r="G116" s="13">
        <f>2026-1993</f>
        <v>33</v>
      </c>
      <c r="H116" s="2" t="s">
        <v>401</v>
      </c>
      <c r="I116" s="2" t="s">
        <v>45</v>
      </c>
      <c r="K116" s="2" t="s">
        <v>47</v>
      </c>
      <c r="L116" s="2" t="s">
        <v>47</v>
      </c>
      <c r="M116" t="s">
        <v>623</v>
      </c>
      <c r="N116" s="2" t="s">
        <v>48</v>
      </c>
      <c r="O116" s="2" t="s">
        <v>48</v>
      </c>
      <c r="U116" s="52"/>
      <c r="Z116" s="52"/>
      <c r="AA116" s="2" t="s">
        <v>508</v>
      </c>
      <c r="AB116" s="2" t="s">
        <v>510</v>
      </c>
      <c r="AC116" s="2" t="s">
        <v>509</v>
      </c>
      <c r="AD116" s="4">
        <v>40</v>
      </c>
      <c r="AI116" s="25" t="s">
        <v>91</v>
      </c>
      <c r="AJ116" s="2" t="s">
        <v>50</v>
      </c>
      <c r="AK116" s="14" t="s">
        <v>47</v>
      </c>
      <c r="AL116" s="53" t="s">
        <v>440</v>
      </c>
      <c r="AM116" s="14" t="s">
        <v>246</v>
      </c>
      <c r="AN116" s="14" t="s">
        <v>50</v>
      </c>
      <c r="AO116" s="14" t="s">
        <v>418</v>
      </c>
      <c r="AP116" s="53" t="s">
        <v>470</v>
      </c>
      <c r="AQ116" s="14"/>
      <c r="AR116" s="14"/>
      <c r="AS116" s="14"/>
      <c r="AT116" s="53"/>
      <c r="AU116" s="7">
        <v>48.4</v>
      </c>
      <c r="AV116" s="14"/>
      <c r="AW116" s="14"/>
      <c r="AX116" s="14"/>
      <c r="AY116" s="14"/>
      <c r="AZ116" s="2" t="s">
        <v>52</v>
      </c>
      <c r="BA116" s="2" t="s">
        <v>53</v>
      </c>
      <c r="BB116" s="2" t="s">
        <v>400</v>
      </c>
      <c r="BC116" s="2" t="s">
        <v>399</v>
      </c>
      <c r="BD116" s="57"/>
      <c r="BE116" s="4">
        <f t="shared" si="3"/>
        <v>1401229222</v>
      </c>
      <c r="BF116" s="13"/>
      <c r="BG116" s="13"/>
      <c r="BH116" s="37"/>
      <c r="BI116" s="17"/>
    </row>
    <row r="117" spans="1:61" ht="15" customHeight="1" x14ac:dyDescent="0.25">
      <c r="A117" s="13" t="s">
        <v>58</v>
      </c>
      <c r="B117" s="25" t="s">
        <v>391</v>
      </c>
      <c r="C117" s="66" t="s">
        <v>392</v>
      </c>
      <c r="D117" s="20">
        <v>1400773865</v>
      </c>
      <c r="E117" s="17"/>
      <c r="F117" s="15">
        <v>32080</v>
      </c>
      <c r="G117" s="13">
        <f>2026-1987</f>
        <v>39</v>
      </c>
      <c r="H117" s="2" t="s">
        <v>401</v>
      </c>
      <c r="I117" s="2" t="s">
        <v>45</v>
      </c>
      <c r="K117" s="2" t="s">
        <v>47</v>
      </c>
      <c r="L117" s="2" t="s">
        <v>47</v>
      </c>
      <c r="M117" t="s">
        <v>624</v>
      </c>
      <c r="N117" s="2" t="s">
        <v>48</v>
      </c>
      <c r="O117" s="2" t="s">
        <v>48</v>
      </c>
      <c r="U117" s="52"/>
      <c r="Z117" s="52"/>
      <c r="AA117" s="2" t="s">
        <v>508</v>
      </c>
      <c r="AB117" s="2" t="s">
        <v>510</v>
      </c>
      <c r="AC117" s="2" t="s">
        <v>509</v>
      </c>
      <c r="AD117" s="4">
        <v>40</v>
      </c>
      <c r="AE117" s="2" t="s">
        <v>630</v>
      </c>
      <c r="AF117" s="2" t="s">
        <v>50</v>
      </c>
      <c r="AG117" s="2" t="s">
        <v>631</v>
      </c>
      <c r="AI117" s="25"/>
      <c r="AJ117" s="14"/>
      <c r="AK117" s="14"/>
      <c r="AL117" s="53"/>
      <c r="AM117" s="14"/>
      <c r="AN117" s="14"/>
      <c r="AO117" s="14"/>
      <c r="AP117" s="53"/>
      <c r="AQ117" s="14"/>
      <c r="AR117" s="14"/>
      <c r="AS117" s="14"/>
      <c r="AT117" s="53"/>
      <c r="AU117" s="7">
        <v>48.4</v>
      </c>
      <c r="AV117" s="14"/>
      <c r="AW117" s="14"/>
      <c r="AX117" s="14"/>
      <c r="AY117" s="14"/>
      <c r="AZ117" s="2" t="s">
        <v>52</v>
      </c>
      <c r="BA117" s="2" t="s">
        <v>53</v>
      </c>
      <c r="BB117" s="2" t="s">
        <v>400</v>
      </c>
      <c r="BC117" s="2" t="s">
        <v>399</v>
      </c>
      <c r="BD117" s="57"/>
      <c r="BE117" s="4">
        <f t="shared" si="3"/>
        <v>1400773865</v>
      </c>
      <c r="BF117" s="13"/>
      <c r="BG117" s="13"/>
      <c r="BH117" s="37"/>
      <c r="BI117" s="17"/>
    </row>
    <row r="118" spans="1:61" ht="15" customHeight="1" x14ac:dyDescent="0.25">
      <c r="A118" s="18" t="s">
        <v>95</v>
      </c>
      <c r="B118" s="25" t="s">
        <v>393</v>
      </c>
      <c r="C118" s="66" t="s">
        <v>394</v>
      </c>
      <c r="D118" s="20">
        <v>1400275416</v>
      </c>
      <c r="E118" s="17"/>
      <c r="F118" s="15">
        <v>24798</v>
      </c>
      <c r="G118" s="13">
        <f>2026-1967</f>
        <v>59</v>
      </c>
      <c r="H118" s="2" t="s">
        <v>401</v>
      </c>
      <c r="I118" s="2" t="s">
        <v>45</v>
      </c>
      <c r="K118" s="2" t="s">
        <v>47</v>
      </c>
      <c r="L118" s="2" t="s">
        <v>47</v>
      </c>
      <c r="M118" t="s">
        <v>625</v>
      </c>
      <c r="N118" s="2" t="s">
        <v>48</v>
      </c>
      <c r="O118" s="2" t="s">
        <v>48</v>
      </c>
      <c r="U118" s="52"/>
      <c r="Z118" s="52"/>
      <c r="AA118" s="2" t="s">
        <v>508</v>
      </c>
      <c r="AB118" s="2" t="s">
        <v>510</v>
      </c>
      <c r="AC118" s="2" t="s">
        <v>509</v>
      </c>
      <c r="AD118" s="4">
        <v>40</v>
      </c>
      <c r="AI118" s="25" t="s">
        <v>174</v>
      </c>
      <c r="AJ118" s="2" t="s">
        <v>50</v>
      </c>
      <c r="AK118" s="14" t="s">
        <v>495</v>
      </c>
      <c r="AL118" s="53" t="s">
        <v>427</v>
      </c>
      <c r="AM118" s="14" t="s">
        <v>468</v>
      </c>
      <c r="AN118" s="14" t="s">
        <v>50</v>
      </c>
      <c r="AO118" s="14" t="s">
        <v>421</v>
      </c>
      <c r="AP118" s="53" t="s">
        <v>469</v>
      </c>
      <c r="AQ118" s="14"/>
      <c r="AR118" s="14"/>
      <c r="AS118" s="14"/>
      <c r="AT118" s="53"/>
      <c r="AU118" s="7">
        <v>48.4</v>
      </c>
      <c r="AV118" s="14"/>
      <c r="AW118" s="14"/>
      <c r="AX118" s="14"/>
      <c r="AY118" s="14"/>
      <c r="AZ118" s="2" t="s">
        <v>52</v>
      </c>
      <c r="BA118" s="2" t="s">
        <v>53</v>
      </c>
      <c r="BB118" s="2" t="s">
        <v>400</v>
      </c>
      <c r="BC118" s="2" t="s">
        <v>399</v>
      </c>
      <c r="BD118" s="57"/>
      <c r="BE118" s="4">
        <f t="shared" si="3"/>
        <v>1400275416</v>
      </c>
      <c r="BF118" s="13"/>
      <c r="BG118" s="13"/>
      <c r="BH118" s="37"/>
      <c r="BI118" s="17"/>
    </row>
    <row r="119" spans="1:61" ht="15" customHeight="1" x14ac:dyDescent="0.25">
      <c r="A119" s="18" t="s">
        <v>95</v>
      </c>
      <c r="B119" s="25" t="s">
        <v>395</v>
      </c>
      <c r="C119" s="66" t="s">
        <v>396</v>
      </c>
      <c r="D119" s="20">
        <v>1400468722</v>
      </c>
      <c r="E119" s="17"/>
      <c r="F119" s="15">
        <v>32853</v>
      </c>
      <c r="G119" s="13">
        <f>2026-1989</f>
        <v>37</v>
      </c>
      <c r="H119" s="2" t="s">
        <v>401</v>
      </c>
      <c r="I119" s="2" t="s">
        <v>45</v>
      </c>
      <c r="K119" s="2" t="s">
        <v>47</v>
      </c>
      <c r="L119" s="2" t="s">
        <v>47</v>
      </c>
      <c r="M119" t="s">
        <v>626</v>
      </c>
      <c r="N119" s="2" t="s">
        <v>48</v>
      </c>
      <c r="O119" s="2" t="s">
        <v>48</v>
      </c>
      <c r="U119" s="52"/>
      <c r="Z119" s="52"/>
      <c r="AA119" s="2" t="s">
        <v>508</v>
      </c>
      <c r="AB119" s="2" t="s">
        <v>510</v>
      </c>
      <c r="AC119" s="2" t="s">
        <v>509</v>
      </c>
      <c r="AD119" s="4">
        <v>40</v>
      </c>
      <c r="AI119" s="25" t="s">
        <v>91</v>
      </c>
      <c r="AJ119" s="2" t="s">
        <v>50</v>
      </c>
      <c r="AK119" s="14" t="s">
        <v>47</v>
      </c>
      <c r="AL119" s="53" t="s">
        <v>79</v>
      </c>
      <c r="AM119" s="14"/>
      <c r="AN119" s="14"/>
      <c r="AO119" s="14"/>
      <c r="AP119" s="53"/>
      <c r="AQ119" s="14"/>
      <c r="AR119" s="14"/>
      <c r="AS119" s="14"/>
      <c r="AT119" s="53"/>
      <c r="AU119" s="7">
        <v>48.4</v>
      </c>
      <c r="AV119" s="14"/>
      <c r="AW119" s="14"/>
      <c r="AX119" s="14"/>
      <c r="AY119" s="14"/>
      <c r="AZ119" s="2" t="s">
        <v>52</v>
      </c>
      <c r="BA119" s="2" t="s">
        <v>53</v>
      </c>
      <c r="BB119" s="2" t="s">
        <v>400</v>
      </c>
      <c r="BC119" s="2" t="s">
        <v>399</v>
      </c>
      <c r="BD119" s="57"/>
      <c r="BE119" s="4">
        <f t="shared" si="3"/>
        <v>1400468722</v>
      </c>
      <c r="BF119" s="13"/>
      <c r="BG119" s="13"/>
      <c r="BH119" s="37"/>
      <c r="BI119" s="17"/>
    </row>
    <row r="120" spans="1:61" ht="15" customHeight="1" x14ac:dyDescent="0.25">
      <c r="A120" s="13" t="s">
        <v>58</v>
      </c>
      <c r="B120" s="39" t="s">
        <v>397</v>
      </c>
      <c r="C120" s="67" t="s">
        <v>398</v>
      </c>
      <c r="D120" s="41">
        <v>2100232871</v>
      </c>
      <c r="E120" s="42"/>
      <c r="F120" s="43">
        <v>28676</v>
      </c>
      <c r="G120" s="44">
        <f>2026-1978</f>
        <v>48</v>
      </c>
      <c r="H120" s="46" t="s">
        <v>401</v>
      </c>
      <c r="I120" s="46" t="s">
        <v>45</v>
      </c>
      <c r="J120" s="45"/>
      <c r="K120" s="46" t="s">
        <v>47</v>
      </c>
      <c r="L120" s="46" t="s">
        <v>47</v>
      </c>
      <c r="M120" s="45" t="s">
        <v>627</v>
      </c>
      <c r="N120" s="46" t="s">
        <v>48</v>
      </c>
      <c r="O120" s="46" t="s">
        <v>48</v>
      </c>
      <c r="P120" s="45"/>
      <c r="Q120" s="45"/>
      <c r="R120" s="45"/>
      <c r="S120" s="45"/>
      <c r="T120" s="45"/>
      <c r="U120" s="60"/>
      <c r="V120" s="45"/>
      <c r="W120" s="45"/>
      <c r="X120" s="45"/>
      <c r="Y120" s="45"/>
      <c r="Z120" s="60"/>
      <c r="AA120" s="46" t="s">
        <v>508</v>
      </c>
      <c r="AB120" s="46" t="s">
        <v>510</v>
      </c>
      <c r="AC120" s="46" t="s">
        <v>509</v>
      </c>
      <c r="AD120" s="64">
        <v>40</v>
      </c>
      <c r="AE120" s="2" t="s">
        <v>630</v>
      </c>
      <c r="AF120" s="2" t="s">
        <v>50</v>
      </c>
      <c r="AG120" s="2" t="s">
        <v>631</v>
      </c>
      <c r="AH120" s="45"/>
      <c r="AI120" s="39"/>
      <c r="AJ120" s="40"/>
      <c r="AK120" s="40"/>
      <c r="AL120" s="58"/>
      <c r="AM120" s="40"/>
      <c r="AN120" s="40"/>
      <c r="AO120" s="40"/>
      <c r="AP120" s="58"/>
      <c r="AQ120" s="40"/>
      <c r="AR120" s="40"/>
      <c r="AS120" s="40"/>
      <c r="AT120" s="58"/>
      <c r="AU120" s="47">
        <v>48.4</v>
      </c>
      <c r="AV120" s="40"/>
      <c r="AW120" s="40"/>
      <c r="AX120" s="40"/>
      <c r="AY120" s="40"/>
      <c r="AZ120" s="46" t="s">
        <v>52</v>
      </c>
      <c r="BA120" s="46" t="s">
        <v>53</v>
      </c>
      <c r="BB120" s="2" t="s">
        <v>400</v>
      </c>
      <c r="BC120" s="2" t="s">
        <v>399</v>
      </c>
      <c r="BD120" s="59"/>
      <c r="BE120" s="4">
        <f t="shared" si="3"/>
        <v>2100232871</v>
      </c>
      <c r="BF120" s="44"/>
      <c r="BG120" s="44"/>
      <c r="BH120" s="38"/>
      <c r="BI120" s="17"/>
    </row>
    <row r="121" spans="1:61" x14ac:dyDescent="0.25"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</row>
  </sheetData>
  <mergeCells count="9">
    <mergeCell ref="AV1:AY1"/>
    <mergeCell ref="AZ1:BD1"/>
    <mergeCell ref="P1:U1"/>
    <mergeCell ref="V1:Z1"/>
    <mergeCell ref="AI1:AL1"/>
    <mergeCell ref="AM1:AP1"/>
    <mergeCell ref="AQ1:AT1"/>
    <mergeCell ref="AA1:AD1"/>
    <mergeCell ref="AE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 MORONA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2026-07-06T16:34:52Z</dcterms:created>
  <dcterms:modified xsi:type="dcterms:W3CDTF">2026-09-07T21:57:11Z</dcterms:modified>
</cp:coreProperties>
</file>